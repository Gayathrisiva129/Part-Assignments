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yathri\Desktop\En Excel Ass\New folder\"/>
    </mc:Choice>
  </mc:AlternateContent>
  <xr:revisionPtr revIDLastSave="0" documentId="13_ncr:1_{B6ED777A-2E65-4513-8EE6-B177362A96C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set" sheetId="1" r:id="rId1"/>
    <sheet name="Observation" sheetId="2" r:id="rId2"/>
  </sheets>
  <definedNames>
    <definedName name="_xlnm._FilterDatabase" localSheetId="0" hidden="1">Dataset!$A$1:$I$32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D33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L2" i="1"/>
  <c r="O2" i="1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L3" i="1"/>
  <c r="O3" i="1" s="1"/>
  <c r="L4" i="1"/>
  <c r="O4" i="1" s="1"/>
  <c r="L5" i="1"/>
  <c r="O5" i="1" s="1"/>
  <c r="L6" i="1"/>
  <c r="O6" i="1" s="1"/>
  <c r="L7" i="1"/>
  <c r="O7" i="1" s="1"/>
  <c r="L8" i="1"/>
  <c r="O8" i="1" s="1"/>
  <c r="L9" i="1"/>
  <c r="O9" i="1" s="1"/>
  <c r="L10" i="1"/>
  <c r="O10" i="1" s="1"/>
  <c r="L11" i="1"/>
  <c r="O11" i="1" s="1"/>
  <c r="L12" i="1"/>
  <c r="O12" i="1" s="1"/>
  <c r="L13" i="1"/>
  <c r="O13" i="1" s="1"/>
  <c r="L14" i="1"/>
  <c r="O14" i="1" s="1"/>
  <c r="L15" i="1"/>
  <c r="O15" i="1" s="1"/>
  <c r="L16" i="1"/>
  <c r="O16" i="1" s="1"/>
  <c r="L17" i="1"/>
  <c r="O17" i="1" s="1"/>
  <c r="L18" i="1"/>
  <c r="O18" i="1" s="1"/>
  <c r="L19" i="1"/>
  <c r="O19" i="1" s="1"/>
  <c r="L20" i="1"/>
  <c r="O20" i="1" s="1"/>
  <c r="L21" i="1"/>
  <c r="O21" i="1" s="1"/>
  <c r="L22" i="1"/>
  <c r="O22" i="1" s="1"/>
  <c r="L23" i="1"/>
  <c r="O23" i="1" s="1"/>
  <c r="L24" i="1"/>
  <c r="O24" i="1" s="1"/>
  <c r="L25" i="1"/>
  <c r="O25" i="1" s="1"/>
  <c r="L26" i="1"/>
  <c r="O26" i="1" s="1"/>
  <c r="L27" i="1"/>
  <c r="O27" i="1" s="1"/>
  <c r="L28" i="1"/>
  <c r="O28" i="1" s="1"/>
  <c r="L29" i="1"/>
  <c r="O29" i="1" s="1"/>
  <c r="L30" i="1"/>
  <c r="O30" i="1" s="1"/>
  <c r="L31" i="1"/>
  <c r="O31" i="1" s="1"/>
  <c r="L32" i="1"/>
  <c r="O32" i="1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</calcChain>
</file>

<file path=xl/sharedStrings.xml><?xml version="1.0" encoding="utf-8"?>
<sst xmlns="http://schemas.openxmlformats.org/spreadsheetml/2006/main" count="190" uniqueCount="123">
  <si>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</si>
  <si>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</si>
  <si>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</si>
  <si>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</si>
  <si>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</si>
  <si>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</si>
  <si>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</si>
  <si>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</si>
  <si>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</si>
  <si>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</si>
  <si>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</si>
  <si>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</si>
  <si>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</si>
  <si>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</si>
  <si>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</si>
  <si>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</si>
  <si>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</si>
  <si>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</si>
  <si>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</si>
  <si>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</si>
  <si>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</si>
  <si>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</si>
  <si>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</si>
  <si>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</si>
  <si>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</si>
  <si>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</si>
  <si>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</si>
  <si>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</si>
  <si>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</si>
  <si>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</si>
  <si>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</si>
  <si>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</si>
  <si>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</si>
  <si>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</si>
  <si>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</si>
  <si>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</si>
  <si>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</si>
  <si>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</si>
  <si>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</si>
  <si>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</si>
  <si>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</si>
  <si>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</si>
  <si>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</si>
  <si>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</si>
  <si>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</si>
  <si>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</si>
  <si>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</si>
  <si>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</si>
  <si>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</si>
  <si>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</si>
  <si>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</si>
  <si>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</si>
  <si>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</si>
  <si>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</si>
  <si>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</si>
  <si>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</si>
  <si>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</si>
  <si>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</si>
  <si>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</si>
  <si>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</si>
  <si>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</si>
  <si>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</si>
  <si>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</si>
  <si>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</si>
  <si>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</si>
  <si>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</si>
  <si>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</si>
  <si>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</si>
  <si>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</si>
  <si>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</si>
  <si>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</si>
  <si>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</si>
  <si>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</si>
  <si>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</si>
  <si>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</si>
  <si>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</si>
  <si>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</si>
  <si>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</si>
  <si>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</si>
  <si>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</si>
  <si>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</si>
  <si>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</si>
  <si>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</si>
  <si>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</si>
  <si>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</si>
  <si>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</si>
  <si>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</si>
  <si>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</si>
  <si>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</si>
  <si>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</si>
  <si>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</si>
  <si>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</si>
  <si>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</si>
  <si>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Serial No</t>
  </si>
  <si>
    <t>Function</t>
  </si>
  <si>
    <t>Remarks</t>
  </si>
  <si>
    <t xml:space="preserve"> </t>
  </si>
  <si>
    <t>Price COUNTBLANK</t>
  </si>
  <si>
    <t>Price ISBLANK</t>
  </si>
  <si>
    <t>Price in Missing vlaues</t>
  </si>
  <si>
    <t>Re Price</t>
  </si>
  <si>
    <r>
      <t xml:space="preserve">If incase any missing values appears in Price, I have use </t>
    </r>
    <r>
      <rPr>
        <b/>
        <sz val="10"/>
        <color rgb="FF000000"/>
        <rFont val="Arial"/>
        <family val="2"/>
        <scheme val="minor"/>
      </rPr>
      <t>IF(ISBLANK) (AVE)</t>
    </r>
    <r>
      <rPr>
        <sz val="10"/>
        <color rgb="FF000000"/>
        <rFont val="Arial"/>
        <family val="2"/>
        <scheme val="minor"/>
      </rPr>
      <t xml:space="preserve"> Conditions. In price column no Outleirs so I can Directly use mean type central tendency. I have created  One more Extra Column (</t>
    </r>
    <r>
      <rPr>
        <b/>
        <sz val="10"/>
        <color rgb="FF000000"/>
        <rFont val="Arial"/>
        <family val="2"/>
        <scheme val="minor"/>
      </rPr>
      <t>H</t>
    </r>
    <r>
      <rPr>
        <sz val="10"/>
        <color rgb="FF000000"/>
        <rFont val="Arial"/>
        <family val="2"/>
        <scheme val="minor"/>
      </rPr>
      <t>) is Price In Missing value. Then the average(</t>
    </r>
    <r>
      <rPr>
        <b/>
        <sz val="10"/>
        <color rgb="FF000000"/>
        <rFont val="Arial"/>
        <family val="2"/>
        <scheme val="minor"/>
      </rPr>
      <t>H2:H35</t>
    </r>
    <r>
      <rPr>
        <sz val="10"/>
        <color rgb="FF000000"/>
        <rFont val="Arial"/>
        <family val="2"/>
        <scheme val="minor"/>
      </rPr>
      <t>) is 283</t>
    </r>
  </si>
  <si>
    <r>
      <t xml:space="preserve">I have used </t>
    </r>
    <r>
      <rPr>
        <b/>
        <sz val="10"/>
        <color rgb="FF000000"/>
        <rFont val="Arial"/>
        <family val="2"/>
        <scheme val="minor"/>
      </rPr>
      <t>(COUNTBLANK)</t>
    </r>
    <r>
      <rPr>
        <sz val="10"/>
        <color rgb="FF000000"/>
        <rFont val="Arial"/>
        <family val="2"/>
        <scheme val="minor"/>
      </rPr>
      <t xml:space="preserve"> and</t>
    </r>
    <r>
      <rPr>
        <b/>
        <sz val="10"/>
        <color rgb="FF000000"/>
        <rFont val="Arial"/>
        <family val="2"/>
        <scheme val="minor"/>
      </rPr>
      <t xml:space="preserve">(ISBLANK) </t>
    </r>
    <r>
      <rPr>
        <sz val="10"/>
        <color rgb="FF000000"/>
        <rFont val="Arial"/>
        <family val="2"/>
        <scheme val="minor"/>
      </rPr>
      <t>Funtion in Price Column(</t>
    </r>
    <r>
      <rPr>
        <b/>
        <sz val="10"/>
        <color rgb="FF000000"/>
        <rFont val="Arial"/>
        <family val="2"/>
        <scheme val="minor"/>
      </rPr>
      <t>D2:D35</t>
    </r>
    <r>
      <rPr>
        <sz val="10"/>
        <color rgb="FF000000"/>
        <rFont val="Arial"/>
        <family val="2"/>
        <scheme val="minor"/>
      </rPr>
      <t>),  So finally there are no Missing Values in Price coulmn</t>
    </r>
  </si>
  <si>
    <t xml:space="preserve">Sneakers     </t>
  </si>
  <si>
    <t>Trimed Product Name</t>
  </si>
  <si>
    <r>
      <t>I have creanted once more column (</t>
    </r>
    <r>
      <rPr>
        <b/>
        <sz val="10"/>
        <color rgb="FF000000"/>
        <rFont val="Arial"/>
        <family val="2"/>
        <scheme val="minor"/>
      </rPr>
      <t>J</t>
    </r>
    <r>
      <rPr>
        <sz val="10"/>
        <color rgb="FF000000"/>
        <rFont val="Arial"/>
        <family val="2"/>
        <scheme val="minor"/>
      </rPr>
      <t>) then Trimed  the Product Name Column (</t>
    </r>
    <r>
      <rPr>
        <b/>
        <sz val="10"/>
        <color rgb="FF000000"/>
        <rFont val="Arial"/>
        <family val="2"/>
        <scheme val="minor"/>
      </rPr>
      <t>J2:J35</t>
    </r>
    <r>
      <rPr>
        <sz val="10"/>
        <color rgb="FF000000"/>
        <rFont val="Arial"/>
        <family val="2"/>
        <scheme val="minor"/>
      </rPr>
      <t>) then I have checked the Inconsistency text, there are No Inconsistent text found in Product Name column</t>
    </r>
  </si>
  <si>
    <r>
      <t>I have Filtered and Checked the Categories Column there are no Typos Presented (</t>
    </r>
    <r>
      <rPr>
        <b/>
        <sz val="10"/>
        <color rgb="FF000000"/>
        <rFont val="Arial"/>
        <family val="2"/>
        <scheme val="minor"/>
      </rPr>
      <t>F2:F35</t>
    </r>
    <r>
      <rPr>
        <sz val="10"/>
        <color rgb="FF000000"/>
        <rFont val="Arial"/>
        <family val="2"/>
        <scheme val="minor"/>
      </rPr>
      <t>)</t>
    </r>
  </si>
  <si>
    <r>
      <t>I have Used the find and replace function to standardize the text formats in the "</t>
    </r>
    <r>
      <rPr>
        <b/>
        <sz val="10"/>
        <color rgb="FF000000"/>
        <rFont val="Arial"/>
        <family val="2"/>
        <scheme val="minor"/>
      </rPr>
      <t>Product 
Name</t>
    </r>
    <r>
      <rPr>
        <sz val="10"/>
        <color rgb="FF000000"/>
        <rFont val="Arial"/>
        <family val="2"/>
        <scheme val="minor"/>
      </rPr>
      <t>" column there are no spell error in Product name, Then i have  created one more Column (</t>
    </r>
    <r>
      <rPr>
        <b/>
        <sz val="10"/>
        <color rgb="FF000000"/>
        <rFont val="Arial"/>
        <family val="2"/>
        <scheme val="minor"/>
      </rPr>
      <t>K</t>
    </r>
    <r>
      <rPr>
        <sz val="10"/>
        <color rgb="FF000000"/>
        <rFont val="Arial"/>
        <family val="2"/>
        <scheme val="minor"/>
      </rPr>
      <t xml:space="preserve">) and Used the </t>
    </r>
    <r>
      <rPr>
        <b/>
        <sz val="10"/>
        <color rgb="FF000000"/>
        <rFont val="Arial"/>
        <family val="2"/>
        <scheme val="minor"/>
      </rPr>
      <t>Find and Replace Function, If any errors</t>
    </r>
    <r>
      <rPr>
        <sz val="10"/>
        <color rgb="FF000000"/>
        <rFont val="Arial"/>
        <family val="2"/>
        <scheme val="minor"/>
      </rPr>
      <t xml:space="preserve"> presented in Product Name  (</t>
    </r>
    <r>
      <rPr>
        <b/>
        <sz val="10"/>
        <color rgb="FF000000"/>
        <rFont val="Arial"/>
        <family val="2"/>
        <scheme val="minor"/>
      </rPr>
      <t>K2:K35</t>
    </r>
    <r>
      <rPr>
        <sz val="10"/>
        <color rgb="FF000000"/>
        <rFont val="Arial"/>
        <family val="2"/>
        <scheme val="minor"/>
      </rPr>
      <t>)</t>
    </r>
  </si>
  <si>
    <r>
      <t xml:space="preserve">There are No typos or misspellings in the </t>
    </r>
    <r>
      <rPr>
        <b/>
        <sz val="10"/>
        <color rgb="FF000000"/>
        <rFont val="Arial"/>
        <family val="2"/>
        <scheme val="minor"/>
      </rPr>
      <t>"Category"</t>
    </r>
    <r>
      <rPr>
        <sz val="10"/>
        <color rgb="FF000000"/>
        <rFont val="Arial"/>
        <family val="2"/>
        <scheme val="minor"/>
      </rPr>
      <t xml:space="preserve"> column </t>
    </r>
    <r>
      <rPr>
        <b/>
        <sz val="10"/>
        <color rgb="FF000000"/>
        <rFont val="Arial"/>
        <family val="2"/>
        <scheme val="minor"/>
      </rPr>
      <t>(F2:F35)</t>
    </r>
  </si>
  <si>
    <t>(F2:F35)</t>
  </si>
  <si>
    <r>
      <t xml:space="preserve">In the </t>
    </r>
    <r>
      <rPr>
        <b/>
        <sz val="10"/>
        <color rgb="FF000000"/>
        <rFont val="Arial"/>
        <scheme val="minor"/>
      </rPr>
      <t>Home</t>
    </r>
    <r>
      <rPr>
        <sz val="10"/>
        <color rgb="FF000000"/>
        <rFont val="Arial"/>
        <scheme val="minor"/>
      </rPr>
      <t xml:space="preserve"> tab, I selected </t>
    </r>
    <r>
      <rPr>
        <b/>
        <sz val="10"/>
        <color rgb="FF000000"/>
        <rFont val="Arial"/>
        <scheme val="minor"/>
      </rPr>
      <t>Conditional Formatting</t>
    </r>
    <r>
      <rPr>
        <sz val="10"/>
        <color rgb="FF000000"/>
        <rFont val="Arial"/>
        <scheme val="minor"/>
      </rPr>
      <t xml:space="preserve"> from the </t>
    </r>
    <r>
      <rPr>
        <b/>
        <sz val="10"/>
        <color rgb="FF000000"/>
        <rFont val="Arial"/>
        <scheme val="minor"/>
      </rPr>
      <t>Styles</t>
    </r>
    <r>
      <rPr>
        <sz val="10"/>
        <color rgb="FF000000"/>
        <rFont val="Arial"/>
        <scheme val="minor"/>
      </rPr>
      <t xml:space="preserve"> group. Then I selected </t>
    </r>
    <r>
      <rPr>
        <b/>
        <sz val="10"/>
        <color rgb="FF000000"/>
        <rFont val="Arial"/>
        <scheme val="minor"/>
      </rPr>
      <t>Duplicate Values</t>
    </r>
    <r>
      <rPr>
        <sz val="10"/>
        <color rgb="FF000000"/>
        <rFont val="Arial"/>
        <scheme val="minor"/>
      </rPr>
      <t xml:space="preserve">. As a result, the duplicate values in the </t>
    </r>
    <r>
      <rPr>
        <b/>
        <sz val="10"/>
        <color rgb="FF000000"/>
        <rFont val="Arial"/>
        <scheme val="minor"/>
      </rPr>
      <t>Product ID</t>
    </r>
    <r>
      <rPr>
        <sz val="10"/>
        <color rgb="FF000000"/>
        <rFont val="Arial"/>
        <scheme val="minor"/>
      </rPr>
      <t xml:space="preserve"> column were highlighted.</t>
    </r>
  </si>
  <si>
    <r>
      <t xml:space="preserve">There were </t>
    </r>
    <r>
      <rPr>
        <b/>
        <sz val="10"/>
        <color rgb="FF000000"/>
        <rFont val="Arial"/>
        <scheme val="minor"/>
      </rPr>
      <t>3 duplicate values</t>
    </r>
    <r>
      <rPr>
        <sz val="10"/>
        <color rgb="FF000000"/>
        <rFont val="Arial"/>
        <scheme val="minor"/>
      </rPr>
      <t xml:space="preserve"> in the </t>
    </r>
    <r>
      <rPr>
        <b/>
        <sz val="10"/>
        <color rgb="FF000000"/>
        <rFont val="Arial"/>
        <scheme val="minor"/>
      </rPr>
      <t>Product ID</t>
    </r>
    <r>
      <rPr>
        <sz val="10"/>
        <color rgb="FF000000"/>
        <rFont val="Arial"/>
        <scheme val="minor"/>
      </rPr>
      <t xml:space="preserve"> column.  then used the </t>
    </r>
    <r>
      <rPr>
        <b/>
        <sz val="10"/>
        <color rgb="FF000000"/>
        <rFont val="Arial"/>
        <scheme val="minor"/>
      </rPr>
      <t>Remove Duplicates</t>
    </r>
    <r>
      <rPr>
        <sz val="10"/>
        <color rgb="FF000000"/>
        <rFont val="Arial"/>
        <scheme val="minor"/>
      </rPr>
      <t xml:space="preserve"> option from the </t>
    </r>
    <r>
      <rPr>
        <b/>
        <sz val="10"/>
        <color rgb="FF000000"/>
        <rFont val="Arial"/>
        <scheme val="minor"/>
      </rPr>
      <t>Data</t>
    </r>
    <r>
      <rPr>
        <sz val="10"/>
        <color rgb="FF000000"/>
        <rFont val="Arial"/>
        <scheme val="minor"/>
      </rPr>
      <t xml:space="preserve"> tab. After removing the duplicates, only </t>
    </r>
    <r>
      <rPr>
        <b/>
        <sz val="10"/>
        <color rgb="FF000000"/>
        <rFont val="Arial"/>
        <scheme val="minor"/>
      </rPr>
      <t>31 rows</t>
    </r>
    <r>
      <rPr>
        <sz val="10"/>
        <color rgb="FF000000"/>
        <rFont val="Arial"/>
        <scheme val="minor"/>
      </rPr>
      <t xml:space="preserve"> remained.</t>
    </r>
  </si>
  <si>
    <t>Manufacturing Date</t>
  </si>
  <si>
    <t>Country Code</t>
  </si>
  <si>
    <t>Product Brand</t>
  </si>
  <si>
    <t>Find and repalce Product Name</t>
  </si>
  <si>
    <r>
      <t>Created 2 new column L &amp; M , Then I have splitted the  "Product ID" column into two separate columns for " Manufacturing Date" (</t>
    </r>
    <r>
      <rPr>
        <b/>
        <sz val="10"/>
        <color rgb="FF000000"/>
        <rFont val="Arial"/>
        <family val="2"/>
        <scheme val="minor"/>
      </rPr>
      <t>L2:L32</t>
    </r>
    <r>
      <rPr>
        <sz val="10"/>
        <color rgb="FF000000"/>
        <rFont val="Arial"/>
        <scheme val="minor"/>
      </rPr>
      <t>)
and "Country Code"(</t>
    </r>
    <r>
      <rPr>
        <b/>
        <sz val="10"/>
        <color rgb="FF000000"/>
        <rFont val="Arial"/>
        <family val="2"/>
        <scheme val="minor"/>
      </rPr>
      <t>M2:M32</t>
    </r>
    <r>
      <rPr>
        <sz val="10"/>
        <color rgb="FF000000"/>
        <rFont val="Arial"/>
        <scheme val="minor"/>
      </rPr>
      <t>)</t>
    </r>
  </si>
  <si>
    <r>
      <t>I have Merged the "Brand Name" (</t>
    </r>
    <r>
      <rPr>
        <b/>
        <sz val="10"/>
        <color rgb="FF000000"/>
        <rFont val="Arial"/>
        <family val="2"/>
        <scheme val="minor"/>
      </rPr>
      <t>C2:C32</t>
    </r>
    <r>
      <rPr>
        <sz val="10"/>
        <color rgb="FF000000"/>
        <rFont val="Arial"/>
        <family val="2"/>
        <scheme val="minor"/>
      </rPr>
      <t>)and "Product Name"(</t>
    </r>
    <r>
      <rPr>
        <b/>
        <sz val="10"/>
        <color rgb="FF000000"/>
        <rFont val="Arial"/>
        <family val="2"/>
        <scheme val="minor"/>
      </rPr>
      <t>B2:B32</t>
    </r>
    <r>
      <rPr>
        <sz val="10"/>
        <color rgb="FF000000"/>
        <rFont val="Arial"/>
        <family val="2"/>
        <scheme val="minor"/>
      </rPr>
      <t>) columns into one column and I have  named it "Product Brand"(</t>
    </r>
    <r>
      <rPr>
        <b/>
        <sz val="10"/>
        <color rgb="FF000000"/>
        <rFont val="Arial"/>
        <family val="2"/>
        <scheme val="minor"/>
      </rPr>
      <t>N2:N32</t>
    </r>
    <r>
      <rPr>
        <sz val="10"/>
        <color rgb="FF000000"/>
        <rFont val="Arial"/>
        <family val="2"/>
        <scheme val="minor"/>
      </rPr>
      <t>).</t>
    </r>
  </si>
  <si>
    <r>
      <t>Changed the data type of the "Price" (</t>
    </r>
    <r>
      <rPr>
        <b/>
        <sz val="10"/>
        <color rgb="FF000000"/>
        <rFont val="Arial"/>
        <family val="2"/>
        <scheme val="minor"/>
      </rPr>
      <t>D2:D32</t>
    </r>
    <r>
      <rPr>
        <sz val="10"/>
        <color rgb="FF000000"/>
        <rFont val="Arial"/>
        <family val="2"/>
        <scheme val="minor"/>
      </rPr>
      <t>)column to a currency format.</t>
    </r>
  </si>
  <si>
    <t>DD-MM-YYYY</t>
  </si>
  <si>
    <r>
      <t xml:space="preserve">Created a new column (O) for the date. The </t>
    </r>
    <r>
      <rPr>
        <b/>
        <sz val="10"/>
        <color rgb="FF000000"/>
        <rFont val="Arial"/>
        <family val="2"/>
        <scheme val="minor"/>
      </rPr>
      <t>Manufacturing Date</t>
    </r>
    <r>
      <rPr>
        <sz val="10"/>
        <color rgb="FF000000"/>
        <rFont val="Arial"/>
        <family val="2"/>
        <scheme val="minor"/>
      </rPr>
      <t xml:space="preserve"> contained only the day and month, with the month in text format. I used the </t>
    </r>
    <r>
      <rPr>
        <b/>
        <sz val="10"/>
        <color rgb="FF000000"/>
        <rFont val="Arial"/>
        <family val="2"/>
        <scheme val="minor"/>
      </rPr>
      <t>TEXT</t>
    </r>
    <r>
      <rPr>
        <sz val="10"/>
        <color rgb="FF000000"/>
        <rFont val="Arial"/>
        <family val="2"/>
        <scheme val="minor"/>
      </rPr>
      <t xml:space="preserve"> function to convert the month into the required format, and the dates were then displayed in the </t>
    </r>
    <r>
      <rPr>
        <b/>
        <sz val="10"/>
        <color rgb="FF000000"/>
        <rFont val="Arial"/>
        <family val="2"/>
        <scheme val="minor"/>
      </rPr>
      <t>DD-MM-YYYY</t>
    </r>
    <r>
      <rPr>
        <sz val="10"/>
        <color rgb="FF000000"/>
        <rFont val="Arial"/>
        <family val="2"/>
        <scheme val="minor"/>
      </rPr>
      <t xml:space="preserve"> format. Since the dataset did not include a year, Excel automatically assigned the year </t>
    </r>
    <r>
      <rPr>
        <b/>
        <sz val="10"/>
        <color rgb="FF000000"/>
        <rFont val="Arial"/>
        <family val="2"/>
        <scheme val="minor"/>
      </rPr>
      <t>2026</t>
    </r>
    <r>
      <rPr>
        <sz val="10"/>
        <color rgb="FF000000"/>
        <rFont val="Arial"/>
        <family val="2"/>
        <scheme val="minor"/>
      </rPr>
      <t xml:space="preserve"> to the dates in cells </t>
    </r>
    <r>
      <rPr>
        <b/>
        <sz val="10"/>
        <color rgb="FF000000"/>
        <rFont val="Arial"/>
        <family val="2"/>
        <scheme val="minor"/>
      </rPr>
      <t>O2:O32</t>
    </r>
    <r>
      <rPr>
        <sz val="10"/>
        <color rgb="FF000000"/>
        <rFont val="Arial"/>
        <family val="2"/>
        <scheme val="minor"/>
      </rPr>
      <t>.</t>
    </r>
  </si>
  <si>
    <r>
      <t xml:space="preserve">Applied </t>
    </r>
    <r>
      <rPr>
        <b/>
        <sz val="10"/>
        <color rgb="FF000000"/>
        <rFont val="Arial"/>
        <family val="2"/>
        <scheme val="minor"/>
      </rPr>
      <t>Color Scales</t>
    </r>
    <r>
      <rPr>
        <sz val="10"/>
        <color rgb="FF000000"/>
        <rFont val="Arial"/>
        <family val="2"/>
        <scheme val="minor"/>
      </rPr>
      <t xml:space="preserve"> conditional formatting to the </t>
    </r>
    <r>
      <rPr>
        <b/>
        <sz val="10"/>
        <color rgb="FF000000"/>
        <rFont val="Arial"/>
        <family val="2"/>
        <scheme val="minor"/>
      </rPr>
      <t>Price</t>
    </r>
    <r>
      <rPr>
        <sz val="10"/>
        <color rgb="FF000000"/>
        <rFont val="Arial"/>
        <family val="2"/>
        <scheme val="minor"/>
      </rPr>
      <t xml:space="preserve"> column (</t>
    </r>
    <r>
      <rPr>
        <b/>
        <sz val="10"/>
        <color rgb="FF000000"/>
        <rFont val="Arial"/>
        <family val="2"/>
        <scheme val="minor"/>
      </rPr>
      <t>D2</t>
    </r>
    <r>
      <rPr>
        <sz val="10"/>
        <color rgb="FF000000"/>
        <rFont val="Arial"/>
        <family val="2"/>
        <scheme val="minor"/>
      </rPr>
      <t>) to visually highlight price variations using different colors based on the cell values</t>
    </r>
  </si>
  <si>
    <r>
      <t xml:space="preserve">Created a custom conditional formatting rule for the </t>
    </r>
    <r>
      <rPr>
        <b/>
        <sz val="10"/>
        <color rgb="FF000000"/>
        <rFont val="Arial"/>
        <family val="2"/>
        <scheme val="minor"/>
      </rPr>
      <t>Category</t>
    </r>
    <r>
      <rPr>
        <sz val="10"/>
        <color rgb="FF000000"/>
        <rFont val="Arial"/>
        <family val="2"/>
        <scheme val="minor"/>
      </rPr>
      <t xml:space="preserve"> column (</t>
    </r>
    <r>
      <rPr>
        <b/>
        <sz val="10"/>
        <color rgb="FF000000"/>
        <rFont val="Arial"/>
        <family val="2"/>
        <scheme val="minor"/>
      </rPr>
      <t>F2</t>
    </r>
    <r>
      <rPr>
        <sz val="10"/>
        <color rgb="FF000000"/>
        <rFont val="Arial"/>
        <family val="2"/>
        <scheme val="minor"/>
      </rPr>
      <t xml:space="preserve">) to highlight cells containing </t>
    </r>
    <r>
      <rPr>
        <b/>
        <sz val="10"/>
        <color rgb="FF000000"/>
        <rFont val="Arial"/>
        <family val="2"/>
        <scheme val="minor"/>
      </rPr>
      <t>"Electronics"</t>
    </r>
    <r>
      <rPr>
        <sz val="10"/>
        <color rgb="FF000000"/>
        <rFont val="Arial"/>
        <family val="2"/>
        <scheme val="minor"/>
      </rPr>
      <t>, making them easy to identify.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</si>
</sst>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5" fillId="0" borderId="1" xfId="0" applyFont="1" applyBorder="1"/>
    <xf numFmtId="0" fontId="0" fillId="0" borderId="1" xfId="0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30">
    <dxf>
      <font>
        <color theme="7" tint="0.59996337778862885"/>
      </font>
    </dxf>
    <dxf>
      <fill>
        <patternFill>
          <bgColor theme="7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65454</xdr:colOff>
      <xdr:row>1</xdr:row>
      <xdr:rowOff>486671</xdr:rowOff>
    </xdr:from>
    <xdr:to>
      <xdr:col>1</xdr:col>
      <xdr:colOff>1703754</xdr:colOff>
      <xdr:row>1</xdr:row>
      <xdr:rowOff>648194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C5D44E-D27C-3720-5769-6FAB63896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317" y="649492"/>
          <a:ext cx="1638300" cy="161523"/>
        </a:xfrm>
        <a:prstGeom prst="rect">
          <a:avLst/>
        </a:prstGeom>
      </xdr:spPr>
    </xdr:pic>
    <xdr:clientData/>
  </xdr:twoCellAnchor>
  <xdr:twoCellAnchor editAs="oneCell">
    <xdr:from>
      <xdr:col>1</xdr:col>
      <xdr:colOff>22850</xdr:colOff>
      <xdr:row>1</xdr:row>
      <xdr:rowOff>102305</xdr:rowOff>
    </xdr:from>
    <xdr:to>
      <xdr:col>1</xdr:col>
      <xdr:colOff>1800850</xdr:colOff>
      <xdr:row>1</xdr:row>
      <xdr:rowOff>308877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DC2511-E69C-C32E-63CD-8CBF54A3E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0713" y="265126"/>
          <a:ext cx="1778000" cy="206572"/>
        </a:xfrm>
        <a:prstGeom prst="rect">
          <a:avLst/>
        </a:prstGeom>
      </xdr:spPr>
    </xdr:pic>
    <xdr:clientData/>
  </xdr:twoCellAnchor>
  <xdr:twoCellAnchor editAs="oneCell">
    <xdr:from>
      <xdr:col>1</xdr:col>
      <xdr:colOff>43418</xdr:colOff>
      <xdr:row>2</xdr:row>
      <xdr:rowOff>157393</xdr:rowOff>
    </xdr:from>
    <xdr:to>
      <xdr:col>1</xdr:col>
      <xdr:colOff>2843912</xdr:colOff>
      <xdr:row>2</xdr:row>
      <xdr:rowOff>411555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5D37BC-51CB-4E6A-88CA-B76DFC5A5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281" y="1177735"/>
          <a:ext cx="2800494" cy="254162"/>
        </a:xfrm>
        <a:prstGeom prst="rect">
          <a:avLst/>
        </a:prstGeom>
      </xdr:spPr>
    </xdr:pic>
    <xdr:clientData/>
  </xdr:twoCellAnchor>
  <xdr:twoCellAnchor editAs="oneCell">
    <xdr:from>
      <xdr:col>1</xdr:col>
      <xdr:colOff>65129</xdr:colOff>
      <xdr:row>4</xdr:row>
      <xdr:rowOff>59702</xdr:rowOff>
    </xdr:from>
    <xdr:to>
      <xdr:col>1</xdr:col>
      <xdr:colOff>2108265</xdr:colOff>
      <xdr:row>4</xdr:row>
      <xdr:rowOff>1042052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DF1478B-DBF9-3B91-2404-445E01D0D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2992" y="1991839"/>
          <a:ext cx="2043136" cy="982350"/>
        </a:xfrm>
        <a:prstGeom prst="rect">
          <a:avLst/>
        </a:prstGeom>
      </xdr:spPr>
    </xdr:pic>
    <xdr:clientData/>
  </xdr:twoCellAnchor>
  <xdr:twoCellAnchor editAs="oneCell">
    <xdr:from>
      <xdr:col>1</xdr:col>
      <xdr:colOff>37992</xdr:colOff>
      <xdr:row>5</xdr:row>
      <xdr:rowOff>37992</xdr:rowOff>
    </xdr:from>
    <xdr:to>
      <xdr:col>1</xdr:col>
      <xdr:colOff>1142949</xdr:colOff>
      <xdr:row>5</xdr:row>
      <xdr:rowOff>952439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653F4D9-EEBD-44E0-A70E-708058AA4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5855" y="3663462"/>
          <a:ext cx="1104957" cy="914447"/>
        </a:xfrm>
        <a:prstGeom prst="rect">
          <a:avLst/>
        </a:prstGeom>
      </xdr:spPr>
    </xdr:pic>
    <xdr:clientData/>
  </xdr:twoCellAnchor>
  <xdr:twoCellAnchor editAs="oneCell">
    <xdr:from>
      <xdr:col>1</xdr:col>
      <xdr:colOff>70555</xdr:colOff>
      <xdr:row>7</xdr:row>
      <xdr:rowOff>48846</xdr:rowOff>
    </xdr:from>
    <xdr:to>
      <xdr:col>1</xdr:col>
      <xdr:colOff>1763888</xdr:colOff>
      <xdr:row>7</xdr:row>
      <xdr:rowOff>1241995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4A922A-A329-B735-E4F8-FB9D2F6D5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8418" y="4808632"/>
          <a:ext cx="1693333" cy="1193149"/>
        </a:xfrm>
        <a:prstGeom prst="rect">
          <a:avLst/>
        </a:prstGeom>
      </xdr:spPr>
    </xdr:pic>
    <xdr:clientData/>
  </xdr:twoCellAnchor>
  <xdr:twoCellAnchor editAs="oneCell">
    <xdr:from>
      <xdr:col>1</xdr:col>
      <xdr:colOff>113974</xdr:colOff>
      <xdr:row>8</xdr:row>
      <xdr:rowOff>70556</xdr:rowOff>
    </xdr:from>
    <xdr:to>
      <xdr:col>1</xdr:col>
      <xdr:colOff>1009487</xdr:colOff>
      <xdr:row>8</xdr:row>
      <xdr:rowOff>1012469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2CCD5EC-B043-32EE-82C2-395A3910D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1837" y="6132906"/>
          <a:ext cx="895513" cy="941913"/>
        </a:xfrm>
        <a:prstGeom prst="rect">
          <a:avLst/>
        </a:prstGeom>
      </xdr:spPr>
    </xdr:pic>
    <xdr:clientData/>
  </xdr:twoCellAnchor>
  <xdr:twoCellAnchor editAs="oneCell">
    <xdr:from>
      <xdr:col>1</xdr:col>
      <xdr:colOff>81410</xdr:colOff>
      <xdr:row>9</xdr:row>
      <xdr:rowOff>43419</xdr:rowOff>
    </xdr:from>
    <xdr:to>
      <xdr:col>1</xdr:col>
      <xdr:colOff>2507235</xdr:colOff>
      <xdr:row>9</xdr:row>
      <xdr:rowOff>297432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FF4C5F4-9461-8529-E5B4-86E73A48D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9273" y="6561667"/>
          <a:ext cx="2425825" cy="254013"/>
        </a:xfrm>
        <a:prstGeom prst="rect">
          <a:avLst/>
        </a:prstGeom>
      </xdr:spPr>
    </xdr:pic>
    <xdr:clientData/>
  </xdr:twoCellAnchor>
  <xdr:twoCellAnchor editAs="oneCell">
    <xdr:from>
      <xdr:col>1</xdr:col>
      <xdr:colOff>92266</xdr:colOff>
      <xdr:row>9</xdr:row>
      <xdr:rowOff>379915</xdr:rowOff>
    </xdr:from>
    <xdr:to>
      <xdr:col>1</xdr:col>
      <xdr:colOff>2594295</xdr:colOff>
      <xdr:row>9</xdr:row>
      <xdr:rowOff>589476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4F0329F-24A4-9246-84FD-DF445641D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0129" y="6898163"/>
          <a:ext cx="2502029" cy="209561"/>
        </a:xfrm>
        <a:prstGeom prst="rect">
          <a:avLst/>
        </a:prstGeom>
      </xdr:spPr>
    </xdr:pic>
    <xdr:clientData/>
  </xdr:twoCellAnchor>
  <xdr:twoCellAnchor editAs="oneCell">
    <xdr:from>
      <xdr:col>1</xdr:col>
      <xdr:colOff>65128</xdr:colOff>
      <xdr:row>10</xdr:row>
      <xdr:rowOff>113974</xdr:rowOff>
    </xdr:from>
    <xdr:to>
      <xdr:col>1</xdr:col>
      <xdr:colOff>4904077</xdr:colOff>
      <xdr:row>10</xdr:row>
      <xdr:rowOff>291783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5D216A4-7586-53EC-8D3C-BA91D19BF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2991" y="7278077"/>
          <a:ext cx="4838949" cy="177809"/>
        </a:xfrm>
        <a:prstGeom prst="rect">
          <a:avLst/>
        </a:prstGeom>
      </xdr:spPr>
    </xdr:pic>
    <xdr:clientData/>
  </xdr:twoCellAnchor>
  <xdr:twoCellAnchor editAs="oneCell">
    <xdr:from>
      <xdr:col>1</xdr:col>
      <xdr:colOff>43419</xdr:colOff>
      <xdr:row>3</xdr:row>
      <xdr:rowOff>54274</xdr:rowOff>
    </xdr:from>
    <xdr:to>
      <xdr:col>1</xdr:col>
      <xdr:colOff>2115686</xdr:colOff>
      <xdr:row>3</xdr:row>
      <xdr:rowOff>206240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20C90C1-03FE-F25D-B322-F8501DC1E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51282" y="1660770"/>
          <a:ext cx="2072267" cy="151966"/>
        </a:xfrm>
        <a:prstGeom prst="rect">
          <a:avLst/>
        </a:prstGeom>
      </xdr:spPr>
    </xdr:pic>
    <xdr:clientData/>
  </xdr:twoCellAnchor>
  <xdr:twoCellAnchor editAs="oneCell">
    <xdr:from>
      <xdr:col>1</xdr:col>
      <xdr:colOff>70556</xdr:colOff>
      <xdr:row>11</xdr:row>
      <xdr:rowOff>59701</xdr:rowOff>
    </xdr:from>
    <xdr:to>
      <xdr:col>1</xdr:col>
      <xdr:colOff>1454531</xdr:colOff>
      <xdr:row>11</xdr:row>
      <xdr:rowOff>717933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5689FD4-2996-F520-65A0-DB71D7CE1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8419" y="7717692"/>
          <a:ext cx="1383975" cy="658232"/>
        </a:xfrm>
        <a:prstGeom prst="rect">
          <a:avLst/>
        </a:prstGeom>
      </xdr:spPr>
    </xdr:pic>
    <xdr:clientData/>
  </xdr:twoCellAnchor>
  <xdr:twoCellAnchor editAs="oneCell">
    <xdr:from>
      <xdr:col>1</xdr:col>
      <xdr:colOff>119402</xdr:colOff>
      <xdr:row>12</xdr:row>
      <xdr:rowOff>200812</xdr:rowOff>
    </xdr:from>
    <xdr:to>
      <xdr:col>1</xdr:col>
      <xdr:colOff>3510476</xdr:colOff>
      <xdr:row>12</xdr:row>
      <xdr:rowOff>397672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8FA8FE4-CE87-6E70-1091-C2FEF87F0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27265" y="8672906"/>
          <a:ext cx="3391074" cy="196860"/>
        </a:xfrm>
        <a:prstGeom prst="rect">
          <a:avLst/>
        </a:prstGeom>
      </xdr:spPr>
    </xdr:pic>
    <xdr:clientData/>
  </xdr:twoCellAnchor>
  <xdr:twoCellAnchor editAs="oneCell">
    <xdr:from>
      <xdr:col>1</xdr:col>
      <xdr:colOff>108549</xdr:colOff>
      <xdr:row>13</xdr:row>
      <xdr:rowOff>54273</xdr:rowOff>
    </xdr:from>
    <xdr:to>
      <xdr:col>1</xdr:col>
      <xdr:colOff>2099541</xdr:colOff>
      <xdr:row>13</xdr:row>
      <xdr:rowOff>1172307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6B1FD83-B186-54F3-1820-49D3F59D5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16412" y="9188504"/>
          <a:ext cx="1990992" cy="1118034"/>
        </a:xfrm>
        <a:prstGeom prst="rect">
          <a:avLst/>
        </a:prstGeom>
      </xdr:spPr>
    </xdr:pic>
    <xdr:clientData/>
  </xdr:twoCellAnchor>
  <xdr:twoCellAnchor editAs="oneCell">
    <xdr:from>
      <xdr:col>1</xdr:col>
      <xdr:colOff>97691</xdr:colOff>
      <xdr:row>14</xdr:row>
      <xdr:rowOff>21708</xdr:rowOff>
    </xdr:from>
    <xdr:to>
      <xdr:col>1</xdr:col>
      <xdr:colOff>3147863</xdr:colOff>
      <xdr:row>14</xdr:row>
      <xdr:rowOff>1964699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DCF6FA1-B86C-08A6-C619-3165C6ECA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05554" y="10393375"/>
          <a:ext cx="3050172" cy="194299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7BE4B3-CE8B-4A8E-82EA-7C79CC0D3B2F}" name="Table2" displayName="Table2" ref="A1:K32" totalsRowShown="0" headerRowDxfId="29" dataDxfId="27" headerRowBorderDxfId="28" tableBorderDxfId="26" totalsRowBorderDxfId="25">
  <autoFilter ref="A1:K32" xr:uid="{887BE4B3-CE8B-4A8E-82EA-7C79CC0D3B2F}"/>
  <tableColumns count="11">
    <tableColumn id="1" xr3:uid="{9F8FE3D6-E462-4175-9B71-7FDF7FB3BF82}" name="Product ID" dataDxfId="24"/>
    <tableColumn id="2" xr3:uid="{279B1C52-ADD0-4FC5-A5BF-5D466E8FBCD6}" name="Product Name" dataDxfId="23"/>
    <tableColumn id="3" xr3:uid="{A83D3FC6-78EA-40F6-8C92-5632FB7EF41C}" name="Brand Name" dataDxfId="22"/>
    <tableColumn id="4" xr3:uid="{78CD79B3-8528-427E-84A6-341574B7B921}" name="Price ($)" dataDxfId="21"/>
    <tableColumn id="5" xr3:uid="{6F9C96A2-F181-4DDD-8EBB-F342A0457C3C}" name="Quantity" dataDxfId="20"/>
    <tableColumn id="6" xr3:uid="{7169AB6C-FFF4-497B-B58F-8E6FF1B95650}" name="Category" dataDxfId="19"/>
    <tableColumn id="7" xr3:uid="{92E781FD-47EE-4D16-A27E-040DB0FFBF88}" name="Price ISBLANK" dataDxfId="18">
      <calculatedColumnFormula>ISBLANK(Table2[[#This Row],[Price ($)]])</calculatedColumnFormula>
    </tableColumn>
    <tableColumn id="8" xr3:uid="{32E9245C-B0F6-48E7-B2C6-6CD913A75647}" name="Price in Missing vlaues" dataDxfId="17"/>
    <tableColumn id="9" xr3:uid="{2B0CDB48-9A5B-4A27-B299-F7E743E93D1B}" name="Re Price" dataDxfId="16">
      <calculatedColumnFormula>IF(ISBLANK(H2),AVERAGE($H$2:$H$32),H2)</calculatedColumnFormula>
    </tableColumn>
    <tableColumn id="10" xr3:uid="{A5BEF375-F57B-4E07-AC8B-8C8478978BA4}" name="Trimed Product Name" dataDxfId="15">
      <calculatedColumnFormula>TRIM(Table2[[#This Row],[Product Name]])</calculatedColumnFormula>
    </tableColumn>
    <tableColumn id="11" xr3:uid="{B677C2D0-83EC-4DEA-BB40-58B27576A9FF}" name="Find and repalce Product Name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0D5AA1-BF71-40D6-8338-95B4DE13C9B3}" name="Table3" displayName="Table3" ref="L1:O32" totalsRowShown="0" headerRowDxfId="13" dataDxfId="11" headerRowBorderDxfId="12">
  <autoFilter ref="L1:O32" xr:uid="{A00D5AA1-BF71-40D6-8338-95B4DE13C9B3}"/>
  <tableColumns count="4">
    <tableColumn id="1" xr3:uid="{07E51304-2066-423C-AF10-B61CD9EEB52A}" name="Manufacturing Date" dataDxfId="10">
      <calculatedColumnFormula>LEFT(Table2[[#This Row],[Product ID]],6)</calculatedColumnFormula>
    </tableColumn>
    <tableColumn id="2" xr3:uid="{80716C15-419F-4F06-8A4C-BC1940825661}" name="Country Code" dataDxfId="9">
      <calculatedColumnFormula>RIGHT(Table2[[#This Row],[Product ID]],2)</calculatedColumnFormula>
    </tableColumn>
    <tableColumn id="3" xr3:uid="{C26729B3-0D15-47BA-B17D-3D9FCF226000}" name="Product Brand" dataDxfId="8">
      <calculatedColumnFormula>CONCATENATE(Table2[[#This Row],[Brand Name]]," ",Table2[[#This Row],[Product Name]])</calculatedColumnFormula>
    </tableColumn>
    <tableColumn id="4" xr3:uid="{B57AA4CB-E334-433A-B2FE-9DA000AB6BF1}" name="DD-MM-YYYY" dataDxfId="7">
      <calculatedColumnFormula>TEXT(Table3[[#This Row],[Manufacturing Date]],"dd-mm-yyyy")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95"/>
  <sheetViews>
    <sheetView zoomScaleNormal="100" workbookViewId="0"/>
  </sheetViews>
  <sheetFormatPr defaultColWidth="12.6328125" defaultRowHeight="15" customHeight="1" x14ac:dyDescent="0.25"/>
  <cols>
    <col min="1" max="1" width="14.453125" style="15" bestFit="1" customWidth="1"/>
    <col min="2" max="2" width="17.6328125" style="15" bestFit="1" customWidth="1"/>
    <col min="3" max="3" width="17.54296875" style="15" bestFit="1" customWidth="1"/>
    <col min="4" max="4" width="12.54296875" style="15" bestFit="1" customWidth="1"/>
    <col min="5" max="5" width="12.7265625" style="15" bestFit="1" customWidth="1"/>
    <col min="6" max="6" width="13.1796875" style="15" bestFit="1" customWidth="1"/>
    <col min="7" max="7" width="18.08984375" style="15" bestFit="1" customWidth="1"/>
    <col min="8" max="8" width="25.26953125" style="15" bestFit="1" customWidth="1"/>
    <col min="9" max="9" width="12.54296875" style="15" bestFit="1" customWidth="1"/>
    <col min="10" max="10" width="24.26953125" style="15" bestFit="1" customWidth="1"/>
    <col min="11" max="11" width="32.7265625" style="15" bestFit="1" customWidth="1"/>
    <col min="12" max="12" width="22.453125" style="15" bestFit="1" customWidth="1"/>
    <col min="13" max="13" width="17.26953125" style="15" bestFit="1" customWidth="1"/>
    <col min="14" max="14" width="21.1796875" style="15" bestFit="1" customWidth="1"/>
    <col min="15" max="15" width="17" style="15" bestFit="1" customWidth="1"/>
    <col min="16" max="16384" width="12.6328125" style="15"/>
  </cols>
  <sheetData>
    <row r="1" spans="1:15" ht="15.75" customHeigh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98</v>
      </c>
      <c r="H1" s="8" t="s">
        <v>99</v>
      </c>
      <c r="I1" s="8" t="s">
        <v>100</v>
      </c>
      <c r="J1" s="8" t="s">
        <v>104</v>
      </c>
      <c r="K1" s="12" t="s">
        <v>115</v>
      </c>
      <c r="L1" s="9" t="s">
        <v>112</v>
      </c>
      <c r="M1" s="9" t="s">
        <v>113</v>
      </c>
      <c r="N1" s="12" t="s">
        <v>114</v>
      </c>
      <c r="O1" s="12" t="s">
        <v>119</v>
      </c>
    </row>
    <row r="2" spans="1:15" ht="15.75" customHeight="1" x14ac:dyDescent="0.25">
      <c r="A2" s="16" t="s">
        <v>6</v>
      </c>
      <c r="B2" s="17" t="s">
        <v>7</v>
      </c>
      <c r="C2" s="17" t="s">
        <v>8</v>
      </c>
      <c r="D2" s="18">
        <v>1000</v>
      </c>
      <c r="E2" s="17">
        <v>30</v>
      </c>
      <c r="F2" s="19" t="s">
        <v>9</v>
      </c>
      <c r="G2" s="17" t="b">
        <f>ISBLANK(Table2[[#This Row],[Price ($)]])</f>
        <v>0</v>
      </c>
      <c r="H2" s="17">
        <v>1000</v>
      </c>
      <c r="I2" s="20">
        <f>IF(ISBLANK(H2),AVERAGE($H$2:$H$32),H2)</f>
        <v>1000</v>
      </c>
      <c r="J2" s="17" t="str">
        <f>TRIM(Table2[[#This Row],[Product Name]])</f>
        <v>Laptop</v>
      </c>
      <c r="K2" s="21" t="s">
        <v>7</v>
      </c>
      <c r="L2" s="21" t="str">
        <f>LEFT(Table2[[#This Row],[Product ID]],6)</f>
        <v>28-JAN</v>
      </c>
      <c r="M2" s="21" t="str">
        <f>RIGHT(Table2[[#This Row],[Product ID]],2)</f>
        <v>US</v>
      </c>
      <c r="N2" s="21" t="str">
        <f>CONCATENATE(Table2[[#This Row],[Brand Name]]," ",Table2[[#This Row],[Product Name]])</f>
        <v>Dell Laptop</v>
      </c>
      <c r="O2" s="21" t="str">
        <f>TEXT(Table3[[#This Row],[Manufacturing Date]],"dd-mm-yyyy")</f>
        <v>28-01-2026</v>
      </c>
    </row>
    <row r="3" spans="1:15" ht="15.75" customHeight="1" x14ac:dyDescent="0.25">
      <c r="A3" s="22" t="s">
        <v>10</v>
      </c>
      <c r="B3" s="23" t="s">
        <v>103</v>
      </c>
      <c r="C3" s="24" t="s">
        <v>12</v>
      </c>
      <c r="D3" s="25">
        <v>80</v>
      </c>
      <c r="E3" s="24">
        <v>15</v>
      </c>
      <c r="F3" s="24" t="s">
        <v>13</v>
      </c>
      <c r="G3" s="24" t="b">
        <f>ISBLANK(Table2[[#This Row],[Price ($)]])</f>
        <v>0</v>
      </c>
      <c r="H3" s="24">
        <v>80</v>
      </c>
      <c r="I3" s="26">
        <f t="shared" ref="I3:I32" si="0">IF(ISBLANK(H3),AVERAGE($H$2:$H$32),H3)</f>
        <v>80</v>
      </c>
      <c r="J3" s="24" t="str">
        <f>TRIM(Table2[[#This Row],[Product Name]])</f>
        <v>Sneakers</v>
      </c>
      <c r="K3" s="27" t="s">
        <v>103</v>
      </c>
      <c r="L3" s="27" t="str">
        <f>LEFT(Table2[[#This Row],[Product ID]],6)</f>
        <v>15-FEB</v>
      </c>
      <c r="M3" s="27" t="str">
        <f>RIGHT(Table2[[#This Row],[Product ID]],2)</f>
        <v>US</v>
      </c>
      <c r="N3" s="27" t="str">
        <f>CONCATENATE(Table2[[#This Row],[Brand Name]]," ",Table2[[#This Row],[Product Name]])</f>
        <v xml:space="preserve">Nike Sneakers     </v>
      </c>
      <c r="O3" s="27" t="str">
        <f>TEXT(Table3[[#This Row],[Manufacturing Date]],"dd-mm-yyyy")</f>
        <v>15-02-2026</v>
      </c>
    </row>
    <row r="4" spans="1:15" ht="15.75" customHeight="1" x14ac:dyDescent="0.25">
      <c r="A4" s="16" t="s">
        <v>14</v>
      </c>
      <c r="B4" s="17" t="s">
        <v>15</v>
      </c>
      <c r="C4" s="17" t="s">
        <v>16</v>
      </c>
      <c r="D4" s="18">
        <v>130</v>
      </c>
      <c r="E4" s="17">
        <v>40</v>
      </c>
      <c r="F4" s="17" t="s">
        <v>17</v>
      </c>
      <c r="G4" s="17" t="b">
        <f>ISBLANK(Table2[[#This Row],[Price ($)]])</f>
        <v>0</v>
      </c>
      <c r="H4" s="17">
        <v>130</v>
      </c>
      <c r="I4" s="20">
        <f t="shared" si="0"/>
        <v>130</v>
      </c>
      <c r="J4" s="17" t="str">
        <f>TRIM(Table2[[#This Row],[Product Name]])</f>
        <v>Coffee Maker</v>
      </c>
      <c r="K4" s="21" t="s">
        <v>15</v>
      </c>
      <c r="L4" s="21" t="str">
        <f>LEFT(Table2[[#This Row],[Product ID]],6)</f>
        <v>03-MAR</v>
      </c>
      <c r="M4" s="21" t="str">
        <f>RIGHT(Table2[[#This Row],[Product ID]],2)</f>
        <v>US</v>
      </c>
      <c r="N4" s="21" t="str">
        <f>CONCATENATE(Table2[[#This Row],[Brand Name]]," ",Table2[[#This Row],[Product Name]])</f>
        <v>Keurig Coffee Maker</v>
      </c>
      <c r="O4" s="21" t="str">
        <f>TEXT(Table3[[#This Row],[Manufacturing Date]],"dd-mm-yyyy")</f>
        <v>03-03-2026</v>
      </c>
    </row>
    <row r="5" spans="1:15" ht="15.75" customHeight="1" x14ac:dyDescent="0.25">
      <c r="A5" s="22" t="s">
        <v>18</v>
      </c>
      <c r="B5" s="24" t="s">
        <v>19</v>
      </c>
      <c r="C5" s="24" t="s">
        <v>20</v>
      </c>
      <c r="D5" s="25">
        <v>900</v>
      </c>
      <c r="E5" s="24">
        <v>25</v>
      </c>
      <c r="F5" s="24" t="s">
        <v>9</v>
      </c>
      <c r="G5" s="24" t="b">
        <f>ISBLANK(Table2[[#This Row],[Price ($)]])</f>
        <v>0</v>
      </c>
      <c r="H5" s="24">
        <v>900</v>
      </c>
      <c r="I5" s="26">
        <f t="shared" si="0"/>
        <v>900</v>
      </c>
      <c r="J5" s="24" t="str">
        <f>TRIM(Table2[[#This Row],[Product Name]])</f>
        <v>Smartphone</v>
      </c>
      <c r="K5" s="28" t="s">
        <v>19</v>
      </c>
      <c r="L5" s="28" t="str">
        <f>LEFT(Table2[[#This Row],[Product ID]],6)</f>
        <v>11-APR</v>
      </c>
      <c r="M5" s="28" t="str">
        <f>RIGHT(Table2[[#This Row],[Product ID]],2)</f>
        <v>US</v>
      </c>
      <c r="N5" s="28" t="str">
        <f>CONCATENATE(Table2[[#This Row],[Brand Name]]," ",Table2[[#This Row],[Product Name]])</f>
        <v>Samsung Smartphone</v>
      </c>
      <c r="O5" s="28" t="str">
        <f>TEXT(Table3[[#This Row],[Manufacturing Date]],"dd-mm-yyyy")</f>
        <v>11-04-2026</v>
      </c>
    </row>
    <row r="6" spans="1:15" ht="15.75" customHeight="1" x14ac:dyDescent="0.25">
      <c r="A6" s="16" t="s">
        <v>21</v>
      </c>
      <c r="B6" s="17" t="s">
        <v>22</v>
      </c>
      <c r="C6" s="17" t="s">
        <v>23</v>
      </c>
      <c r="D6" s="18">
        <v>70</v>
      </c>
      <c r="E6" s="17">
        <v>20</v>
      </c>
      <c r="F6" s="17" t="s">
        <v>24</v>
      </c>
      <c r="G6" s="17" t="b">
        <f>ISBLANK(Table2[[#This Row],[Price ($)]])</f>
        <v>0</v>
      </c>
      <c r="H6" s="17">
        <v>70</v>
      </c>
      <c r="I6" s="20">
        <f t="shared" si="0"/>
        <v>70</v>
      </c>
      <c r="J6" s="17" t="str">
        <f>TRIM(Table2[[#This Row],[Product Name]])</f>
        <v>Backpack</v>
      </c>
      <c r="K6" s="21" t="s">
        <v>22</v>
      </c>
      <c r="L6" s="21" t="str">
        <f>LEFT(Table2[[#This Row],[Product ID]],6)</f>
        <v>22-MAY</v>
      </c>
      <c r="M6" s="21" t="str">
        <f>RIGHT(Table2[[#This Row],[Product ID]],2)</f>
        <v>US</v>
      </c>
      <c r="N6" s="21" t="str">
        <f>CONCATENATE(Table2[[#This Row],[Brand Name]]," ",Table2[[#This Row],[Product Name]])</f>
        <v>North Face Backpack</v>
      </c>
      <c r="O6" s="21" t="str">
        <f>TEXT(Table3[[#This Row],[Manufacturing Date]],"dd-mm-yyyy")</f>
        <v>22-05-2026</v>
      </c>
    </row>
    <row r="7" spans="1:15" ht="15.75" customHeight="1" x14ac:dyDescent="0.25">
      <c r="A7" s="22" t="s">
        <v>25</v>
      </c>
      <c r="B7" s="24" t="s">
        <v>26</v>
      </c>
      <c r="C7" s="24" t="s">
        <v>27</v>
      </c>
      <c r="D7" s="25">
        <v>200</v>
      </c>
      <c r="E7" s="24">
        <v>45</v>
      </c>
      <c r="F7" s="24" t="s">
        <v>9</v>
      </c>
      <c r="G7" s="24" t="b">
        <f>ISBLANK(Table2[[#This Row],[Price ($)]])</f>
        <v>0</v>
      </c>
      <c r="H7" s="24">
        <v>200</v>
      </c>
      <c r="I7" s="26">
        <f t="shared" si="0"/>
        <v>200</v>
      </c>
      <c r="J7" s="24" t="str">
        <f>TRIM(Table2[[#This Row],[Product Name]])</f>
        <v>Headphones</v>
      </c>
      <c r="K7" s="28" t="s">
        <v>26</v>
      </c>
      <c r="L7" s="28" t="str">
        <f>LEFT(Table2[[#This Row],[Product ID]],6)</f>
        <v>07-JUN</v>
      </c>
      <c r="M7" s="28" t="str">
        <f>RIGHT(Table2[[#This Row],[Product ID]],2)</f>
        <v>UK</v>
      </c>
      <c r="N7" s="28" t="str">
        <f>CONCATENATE(Table2[[#This Row],[Brand Name]]," ",Table2[[#This Row],[Product Name]])</f>
        <v>Sony Headphones</v>
      </c>
      <c r="O7" s="28" t="str">
        <f>TEXT(Table3[[#This Row],[Manufacturing Date]],"dd-mm-yyyy")</f>
        <v>07-06-2026</v>
      </c>
    </row>
    <row r="8" spans="1:15" ht="15.75" customHeight="1" x14ac:dyDescent="0.25">
      <c r="A8" s="16" t="s">
        <v>28</v>
      </c>
      <c r="B8" s="17" t="s">
        <v>29</v>
      </c>
      <c r="C8" s="17" t="s">
        <v>30</v>
      </c>
      <c r="D8" s="18">
        <v>30</v>
      </c>
      <c r="E8" s="17">
        <v>5</v>
      </c>
      <c r="F8" s="17" t="s">
        <v>13</v>
      </c>
      <c r="G8" s="17" t="b">
        <f>ISBLANK(Table2[[#This Row],[Price ($)]])</f>
        <v>0</v>
      </c>
      <c r="H8" s="17">
        <v>30</v>
      </c>
      <c r="I8" s="20">
        <f t="shared" si="0"/>
        <v>30</v>
      </c>
      <c r="J8" s="17" t="str">
        <f>TRIM(Table2[[#This Row],[Product Name]])</f>
        <v>T-shirt</v>
      </c>
      <c r="K8" s="21" t="s">
        <v>29</v>
      </c>
      <c r="L8" s="21" t="str">
        <f>LEFT(Table2[[#This Row],[Product ID]],6)</f>
        <v>19-JUL</v>
      </c>
      <c r="M8" s="21" t="str">
        <f>RIGHT(Table2[[#This Row],[Product ID]],2)</f>
        <v>UK</v>
      </c>
      <c r="N8" s="21" t="str">
        <f>CONCATENATE(Table2[[#This Row],[Brand Name]]," ",Table2[[#This Row],[Product Name]])</f>
        <v>Adidas T-shirt</v>
      </c>
      <c r="O8" s="21" t="str">
        <f>TEXT(Table3[[#This Row],[Manufacturing Date]],"dd-mm-yyyy")</f>
        <v>19-07-2026</v>
      </c>
    </row>
    <row r="9" spans="1:15" ht="15.75" customHeight="1" x14ac:dyDescent="0.25">
      <c r="A9" s="22" t="s">
        <v>31</v>
      </c>
      <c r="B9" s="24" t="s">
        <v>32</v>
      </c>
      <c r="C9" s="24" t="s">
        <v>33</v>
      </c>
      <c r="D9" s="25">
        <v>90</v>
      </c>
      <c r="E9" s="24">
        <v>35</v>
      </c>
      <c r="F9" s="24" t="s">
        <v>17</v>
      </c>
      <c r="G9" s="24" t="b">
        <f>ISBLANK(Table2[[#This Row],[Price ($)]])</f>
        <v>0</v>
      </c>
      <c r="H9" s="13"/>
      <c r="I9" s="20">
        <f t="shared" si="0"/>
        <v>269.64285714285717</v>
      </c>
      <c r="J9" s="24" t="str">
        <f>TRIM(Table2[[#This Row],[Product Name]])</f>
        <v>Blender</v>
      </c>
      <c r="K9" s="28" t="s">
        <v>32</v>
      </c>
      <c r="L9" s="28" t="str">
        <f>LEFT(Table2[[#This Row],[Product ID]],6)</f>
        <v>23-AUG</v>
      </c>
      <c r="M9" s="28" t="str">
        <f>RIGHT(Table2[[#This Row],[Product ID]],2)</f>
        <v>UK</v>
      </c>
      <c r="N9" s="28" t="str">
        <f>CONCATENATE(Table2[[#This Row],[Brand Name]]," ",Table2[[#This Row],[Product Name]])</f>
        <v>Ninja Blender</v>
      </c>
      <c r="O9" s="28" t="str">
        <f>TEXT(Table3[[#This Row],[Manufacturing Date]],"dd-mm-yyyy")</f>
        <v>23-08-2026</v>
      </c>
    </row>
    <row r="10" spans="1:15" ht="15.75" customHeight="1" x14ac:dyDescent="0.25">
      <c r="A10" s="16" t="s">
        <v>34</v>
      </c>
      <c r="B10" s="17" t="s">
        <v>35</v>
      </c>
      <c r="C10" s="17" t="s">
        <v>36</v>
      </c>
      <c r="D10" s="18">
        <v>500</v>
      </c>
      <c r="E10" s="17">
        <v>50</v>
      </c>
      <c r="F10" s="17" t="s">
        <v>9</v>
      </c>
      <c r="G10" s="17" t="b">
        <f>ISBLANK(Table2[[#This Row],[Price ($)]])</f>
        <v>0</v>
      </c>
      <c r="H10" s="17">
        <v>500</v>
      </c>
      <c r="I10" s="20">
        <f t="shared" si="0"/>
        <v>500</v>
      </c>
      <c r="J10" s="17" t="str">
        <f>TRIM(Table2[[#This Row],[Product Name]])</f>
        <v>Tablet</v>
      </c>
      <c r="K10" s="21" t="s">
        <v>35</v>
      </c>
      <c r="L10" s="21" t="str">
        <f>LEFT(Table2[[#This Row],[Product ID]],6)</f>
        <v>05-SEP</v>
      </c>
      <c r="M10" s="21" t="str">
        <f>RIGHT(Table2[[#This Row],[Product ID]],2)</f>
        <v>UK</v>
      </c>
      <c r="N10" s="21" t="str">
        <f>CONCATENATE(Table2[[#This Row],[Brand Name]]," ",Table2[[#This Row],[Product Name]])</f>
        <v>Apple Tablet</v>
      </c>
      <c r="O10" s="21" t="str">
        <f>TEXT(Table3[[#This Row],[Manufacturing Date]],"dd-mm-yyyy")</f>
        <v>05-09-2026</v>
      </c>
    </row>
    <row r="11" spans="1:15" ht="15.75" customHeight="1" x14ac:dyDescent="0.25">
      <c r="A11" s="22" t="s">
        <v>37</v>
      </c>
      <c r="B11" s="24" t="s">
        <v>38</v>
      </c>
      <c r="C11" s="24" t="s">
        <v>39</v>
      </c>
      <c r="D11" s="25">
        <v>130</v>
      </c>
      <c r="E11" s="24">
        <v>10</v>
      </c>
      <c r="F11" s="24" t="s">
        <v>24</v>
      </c>
      <c r="G11" s="24" t="b">
        <f>ISBLANK(Table2[[#This Row],[Price ($)]])</f>
        <v>0</v>
      </c>
      <c r="H11" s="24">
        <v>130</v>
      </c>
      <c r="I11" s="26">
        <f t="shared" si="0"/>
        <v>130</v>
      </c>
      <c r="J11" s="24" t="str">
        <f>TRIM(Table2[[#This Row],[Product Name]])</f>
        <v>Hiking Boots</v>
      </c>
      <c r="K11" s="28" t="s">
        <v>38</v>
      </c>
      <c r="L11" s="28" t="str">
        <f>LEFT(Table2[[#This Row],[Product ID]],6)</f>
        <v>14-OCT</v>
      </c>
      <c r="M11" s="28" t="str">
        <f>RIGHT(Table2[[#This Row],[Product ID]],2)</f>
        <v>UK</v>
      </c>
      <c r="N11" s="28" t="str">
        <f>CONCATENATE(Table2[[#This Row],[Brand Name]]," ",Table2[[#This Row],[Product Name]])</f>
        <v>Timberland Hiking Boots</v>
      </c>
      <c r="O11" s="28" t="str">
        <f>TEXT(Table3[[#This Row],[Manufacturing Date]],"dd-mm-yyyy")</f>
        <v>14-10-2026</v>
      </c>
    </row>
    <row r="12" spans="1:15" ht="15.75" customHeight="1" x14ac:dyDescent="0.25">
      <c r="A12" s="16" t="s">
        <v>40</v>
      </c>
      <c r="B12" s="17" t="s">
        <v>7</v>
      </c>
      <c r="C12" s="17" t="s">
        <v>41</v>
      </c>
      <c r="D12" s="18">
        <v>950</v>
      </c>
      <c r="E12" s="17">
        <v>25</v>
      </c>
      <c r="F12" s="17" t="s">
        <v>9</v>
      </c>
      <c r="G12" s="17" t="b">
        <f>ISBLANK(Table2[[#This Row],[Price ($)]])</f>
        <v>0</v>
      </c>
      <c r="H12" s="17">
        <v>950</v>
      </c>
      <c r="I12" s="20">
        <f t="shared" si="0"/>
        <v>950</v>
      </c>
      <c r="J12" s="17" t="str">
        <f>TRIM(Table2[[#This Row],[Product Name]])</f>
        <v>Laptop</v>
      </c>
      <c r="K12" s="29" t="s">
        <v>7</v>
      </c>
      <c r="L12" s="29" t="str">
        <f>LEFT(Table2[[#This Row],[Product ID]],6)</f>
        <v>17-JUN</v>
      </c>
      <c r="M12" s="29" t="str">
        <f>RIGHT(Table2[[#This Row],[Product ID]],2)</f>
        <v>IN</v>
      </c>
      <c r="N12" s="29" t="str">
        <f>CONCATENATE(Table2[[#This Row],[Brand Name]]," ",Table2[[#This Row],[Product Name]])</f>
        <v>HP Laptop</v>
      </c>
      <c r="O12" s="29" t="str">
        <f>TEXT(Table3[[#This Row],[Manufacturing Date]],"dd-mm-yyyy")</f>
        <v>17-06-2026</v>
      </c>
    </row>
    <row r="13" spans="1:15" ht="15.75" customHeight="1" x14ac:dyDescent="0.25">
      <c r="A13" s="22" t="s">
        <v>42</v>
      </c>
      <c r="B13" s="24" t="s">
        <v>11</v>
      </c>
      <c r="C13" s="24" t="s">
        <v>30</v>
      </c>
      <c r="D13" s="25">
        <v>90</v>
      </c>
      <c r="E13" s="24">
        <v>40</v>
      </c>
      <c r="F13" s="24" t="s">
        <v>13</v>
      </c>
      <c r="G13" s="24" t="b">
        <f>ISBLANK(Table2[[#This Row],[Price ($)]])</f>
        <v>0</v>
      </c>
      <c r="H13" s="24">
        <v>90</v>
      </c>
      <c r="I13" s="26">
        <f t="shared" si="0"/>
        <v>90</v>
      </c>
      <c r="J13" s="24" t="str">
        <f>TRIM(Table2[[#This Row],[Product Name]])</f>
        <v>Sneakers</v>
      </c>
      <c r="K13" s="28" t="s">
        <v>11</v>
      </c>
      <c r="L13" s="28" t="str">
        <f>LEFT(Table2[[#This Row],[Product ID]],6)</f>
        <v>25-NOV</v>
      </c>
      <c r="M13" s="28" t="str">
        <f>RIGHT(Table2[[#This Row],[Product ID]],2)</f>
        <v>AU</v>
      </c>
      <c r="N13" s="28" t="str">
        <f>CONCATENATE(Table2[[#This Row],[Brand Name]]," ",Table2[[#This Row],[Product Name]])</f>
        <v>Adidas Sneakers</v>
      </c>
      <c r="O13" s="28" t="str">
        <f>TEXT(Table3[[#This Row],[Manufacturing Date]],"dd-mm-yyyy")</f>
        <v>25-11-2026</v>
      </c>
    </row>
    <row r="14" spans="1:15" ht="15.75" customHeight="1" x14ac:dyDescent="0.25">
      <c r="A14" s="16" t="s">
        <v>43</v>
      </c>
      <c r="B14" s="17" t="s">
        <v>15</v>
      </c>
      <c r="C14" s="17" t="s">
        <v>44</v>
      </c>
      <c r="D14" s="18">
        <v>120</v>
      </c>
      <c r="E14" s="17">
        <v>35</v>
      </c>
      <c r="F14" s="17" t="s">
        <v>17</v>
      </c>
      <c r="G14" s="17" t="b">
        <f>ISBLANK(Table2[[#This Row],[Price ($)]])</f>
        <v>0</v>
      </c>
      <c r="H14" s="17">
        <v>120</v>
      </c>
      <c r="I14" s="20">
        <f t="shared" si="0"/>
        <v>120</v>
      </c>
      <c r="J14" s="17" t="str">
        <f>TRIM(Table2[[#This Row],[Product Name]])</f>
        <v>Coffee Maker</v>
      </c>
      <c r="K14" s="21" t="s">
        <v>15</v>
      </c>
      <c r="L14" s="21" t="str">
        <f>LEFT(Table2[[#This Row],[Product ID]],6)</f>
        <v>08-DEC</v>
      </c>
      <c r="M14" s="21" t="str">
        <f>RIGHT(Table2[[#This Row],[Product ID]],2)</f>
        <v>DE</v>
      </c>
      <c r="N14" s="21" t="str">
        <f>CONCATENATE(Table2[[#This Row],[Brand Name]]," ",Table2[[#This Row],[Product Name]])</f>
        <v>Nespresso Coffee Maker</v>
      </c>
      <c r="O14" s="21" t="str">
        <f>TEXT(Table3[[#This Row],[Manufacturing Date]],"dd-mm-yyyy")</f>
        <v>08-12-2026</v>
      </c>
    </row>
    <row r="15" spans="1:15" ht="15.75" customHeight="1" x14ac:dyDescent="0.25">
      <c r="A15" s="22" t="s">
        <v>45</v>
      </c>
      <c r="B15" s="24" t="s">
        <v>46</v>
      </c>
      <c r="C15" s="24" t="s">
        <v>47</v>
      </c>
      <c r="D15" s="25">
        <v>150</v>
      </c>
      <c r="E15" s="24">
        <v>15</v>
      </c>
      <c r="F15" s="24" t="s">
        <v>9</v>
      </c>
      <c r="G15" s="24" t="b">
        <f>ISBLANK(Table2[[#This Row],[Price ($)]])</f>
        <v>0</v>
      </c>
      <c r="H15" s="24">
        <v>150</v>
      </c>
      <c r="I15" s="26">
        <f t="shared" si="0"/>
        <v>150</v>
      </c>
      <c r="J15" s="24" t="str">
        <f>TRIM(Table2[[#This Row],[Product Name]])</f>
        <v>Smartwatch</v>
      </c>
      <c r="K15" s="28" t="s">
        <v>46</v>
      </c>
      <c r="L15" s="28" t="str">
        <f>LEFT(Table2[[#This Row],[Product ID]],6)</f>
        <v>18-FEB</v>
      </c>
      <c r="M15" s="28" t="str">
        <f>RIGHT(Table2[[#This Row],[Product ID]],2)</f>
        <v>CA</v>
      </c>
      <c r="N15" s="28" t="str">
        <f>CONCATENATE(Table2[[#This Row],[Brand Name]]," ",Table2[[#This Row],[Product Name]])</f>
        <v>Fitbit Smartwatch</v>
      </c>
      <c r="O15" s="28" t="str">
        <f>TEXT(Table3[[#This Row],[Manufacturing Date]],"dd-mm-yyyy")</f>
        <v>18-02-2026</v>
      </c>
    </row>
    <row r="16" spans="1:15" ht="15.75" customHeight="1" x14ac:dyDescent="0.25">
      <c r="A16" s="16" t="s">
        <v>48</v>
      </c>
      <c r="B16" s="17" t="s">
        <v>26</v>
      </c>
      <c r="C16" s="17" t="s">
        <v>49</v>
      </c>
      <c r="D16" s="18">
        <v>250</v>
      </c>
      <c r="E16" s="17">
        <v>20</v>
      </c>
      <c r="F16" s="17" t="s">
        <v>9</v>
      </c>
      <c r="G16" s="17" t="b">
        <f>ISBLANK(Table2[[#This Row],[Price ($)]])</f>
        <v>0</v>
      </c>
      <c r="H16" s="13"/>
      <c r="I16" s="20">
        <f t="shared" si="0"/>
        <v>269.64285714285717</v>
      </c>
      <c r="J16" s="17" t="str">
        <f>TRIM(Table2[[#This Row],[Product Name]])</f>
        <v>Headphones</v>
      </c>
      <c r="K16" s="21" t="s">
        <v>26</v>
      </c>
      <c r="L16" s="21" t="str">
        <f>LEFT(Table2[[#This Row],[Product ID]],6)</f>
        <v>16-APR</v>
      </c>
      <c r="M16" s="21" t="str">
        <f>RIGHT(Table2[[#This Row],[Product ID]],2)</f>
        <v>ES</v>
      </c>
      <c r="N16" s="21" t="str">
        <f>CONCATENATE(Table2[[#This Row],[Brand Name]]," ",Table2[[#This Row],[Product Name]])</f>
        <v>Bose Headphones</v>
      </c>
      <c r="O16" s="21" t="str">
        <f>TEXT(Table3[[#This Row],[Manufacturing Date]],"dd-mm-yyyy")</f>
        <v>16-04-2026</v>
      </c>
    </row>
    <row r="17" spans="1:15" ht="15.75" customHeight="1" x14ac:dyDescent="0.25">
      <c r="A17" s="22" t="s">
        <v>50</v>
      </c>
      <c r="B17" s="24" t="s">
        <v>51</v>
      </c>
      <c r="C17" s="24" t="s">
        <v>52</v>
      </c>
      <c r="D17" s="25">
        <v>50</v>
      </c>
      <c r="E17" s="24">
        <v>35</v>
      </c>
      <c r="F17" s="24" t="s">
        <v>53</v>
      </c>
      <c r="G17" s="24" t="b">
        <f>ISBLANK(Table2[[#This Row],[Price ($)]])</f>
        <v>0</v>
      </c>
      <c r="H17" s="24">
        <v>50</v>
      </c>
      <c r="I17" s="26">
        <f t="shared" si="0"/>
        <v>50</v>
      </c>
      <c r="J17" s="24" t="str">
        <f>TRIM(Table2[[#This Row],[Product Name]])</f>
        <v>Laptop Bag</v>
      </c>
      <c r="K17" s="28" t="s">
        <v>51</v>
      </c>
      <c r="L17" s="28" t="str">
        <f>LEFT(Table2[[#This Row],[Product ID]],6)</f>
        <v>21-AUG</v>
      </c>
      <c r="M17" s="28" t="str">
        <f>RIGHT(Table2[[#This Row],[Product ID]],2)</f>
        <v>CA</v>
      </c>
      <c r="N17" s="28" t="str">
        <f>CONCATENATE(Table2[[#This Row],[Brand Name]]," ",Table2[[#This Row],[Product Name]])</f>
        <v>Samsonite Laptop Bag</v>
      </c>
      <c r="O17" s="28" t="str">
        <f>TEXT(Table3[[#This Row],[Manufacturing Date]],"dd-mm-yyyy")</f>
        <v>21-08-2026</v>
      </c>
    </row>
    <row r="18" spans="1:15" ht="15.75" customHeight="1" x14ac:dyDescent="0.25">
      <c r="A18" s="16" t="s">
        <v>54</v>
      </c>
      <c r="B18" s="17" t="s">
        <v>46</v>
      </c>
      <c r="C18" s="17" t="s">
        <v>55</v>
      </c>
      <c r="D18" s="18">
        <v>160</v>
      </c>
      <c r="E18" s="17">
        <v>15</v>
      </c>
      <c r="F18" s="17" t="s">
        <v>9</v>
      </c>
      <c r="G18" s="17" t="b">
        <f>ISBLANK(Table2[[#This Row],[Price ($)]])</f>
        <v>0</v>
      </c>
      <c r="H18" s="17">
        <v>160</v>
      </c>
      <c r="I18" s="20">
        <f t="shared" si="0"/>
        <v>160</v>
      </c>
      <c r="J18" s="17" t="str">
        <f>TRIM(Table2[[#This Row],[Product Name]])</f>
        <v>Smartwatch</v>
      </c>
      <c r="K18" s="21" t="s">
        <v>46</v>
      </c>
      <c r="L18" s="21" t="str">
        <f>LEFT(Table2[[#This Row],[Product ID]],6)</f>
        <v>20-AUG</v>
      </c>
      <c r="M18" s="21" t="str">
        <f>RIGHT(Table2[[#This Row],[Product ID]],2)</f>
        <v>CN</v>
      </c>
      <c r="N18" s="21" t="str">
        <f>CONCATENATE(Table2[[#This Row],[Brand Name]]," ",Table2[[#This Row],[Product Name]])</f>
        <v>Huawei Smartwatch</v>
      </c>
      <c r="O18" s="21" t="str">
        <f>TEXT(Table3[[#This Row],[Manufacturing Date]],"dd-mm-yyyy")</f>
        <v>20-08-2026</v>
      </c>
    </row>
    <row r="19" spans="1:15" ht="15.75" customHeight="1" x14ac:dyDescent="0.25">
      <c r="A19" s="22" t="s">
        <v>56</v>
      </c>
      <c r="B19" s="24" t="s">
        <v>7</v>
      </c>
      <c r="C19" s="24" t="s">
        <v>57</v>
      </c>
      <c r="D19" s="25">
        <v>980</v>
      </c>
      <c r="E19" s="24">
        <v>10</v>
      </c>
      <c r="F19" s="24" t="s">
        <v>9</v>
      </c>
      <c r="G19" s="24" t="b">
        <f>ISBLANK(Table2[[#This Row],[Price ($)]])</f>
        <v>0</v>
      </c>
      <c r="H19" s="13"/>
      <c r="I19" s="20">
        <f t="shared" si="0"/>
        <v>269.64285714285717</v>
      </c>
      <c r="J19" s="24" t="str">
        <f>TRIM(Table2[[#This Row],[Product Name]])</f>
        <v>Laptop</v>
      </c>
      <c r="K19" s="27" t="s">
        <v>7</v>
      </c>
      <c r="L19" s="27" t="str">
        <f>LEFT(Table2[[#This Row],[Product ID]],6)</f>
        <v>27-JAN</v>
      </c>
      <c r="M19" s="27" t="str">
        <f>RIGHT(Table2[[#This Row],[Product ID]],2)</f>
        <v>IT</v>
      </c>
      <c r="N19" s="27" t="str">
        <f>CONCATENATE(Table2[[#This Row],[Brand Name]]," ",Table2[[#This Row],[Product Name]])</f>
        <v>Asus Laptop</v>
      </c>
      <c r="O19" s="27" t="str">
        <f>TEXT(Table3[[#This Row],[Manufacturing Date]],"dd-mm-yyyy")</f>
        <v>27-01-2026</v>
      </c>
    </row>
    <row r="20" spans="1:15" ht="15.75" customHeight="1" x14ac:dyDescent="0.25">
      <c r="A20" s="16" t="s">
        <v>58</v>
      </c>
      <c r="B20" s="17" t="s">
        <v>59</v>
      </c>
      <c r="C20" s="17" t="s">
        <v>60</v>
      </c>
      <c r="D20" s="18">
        <v>150</v>
      </c>
      <c r="E20" s="17">
        <v>15</v>
      </c>
      <c r="F20" s="17" t="s">
        <v>13</v>
      </c>
      <c r="G20" s="17" t="b">
        <f>ISBLANK(Table2[[#This Row],[Price ($)]])</f>
        <v>0</v>
      </c>
      <c r="H20" s="17">
        <v>150</v>
      </c>
      <c r="I20" s="20">
        <f t="shared" si="0"/>
        <v>150</v>
      </c>
      <c r="J20" s="17" t="str">
        <f>TRIM(Table2[[#This Row],[Product Name]])</f>
        <v>Sunglasses</v>
      </c>
      <c r="K20" s="21" t="s">
        <v>59</v>
      </c>
      <c r="L20" s="21" t="str">
        <f>LEFT(Table2[[#This Row],[Product ID]],6)</f>
        <v>01-MAR</v>
      </c>
      <c r="M20" s="21" t="str">
        <f>RIGHT(Table2[[#This Row],[Product ID]],2)</f>
        <v>UK</v>
      </c>
      <c r="N20" s="21" t="str">
        <f>CONCATENATE(Table2[[#This Row],[Brand Name]]," ",Table2[[#This Row],[Product Name]])</f>
        <v>Oakley Sunglasses</v>
      </c>
      <c r="O20" s="21" t="str">
        <f>TEXT(Table3[[#This Row],[Manufacturing Date]],"dd-mm-yyyy")</f>
        <v>01-03-2026</v>
      </c>
    </row>
    <row r="21" spans="1:15" ht="15.75" customHeight="1" x14ac:dyDescent="0.25">
      <c r="A21" s="22" t="s">
        <v>61</v>
      </c>
      <c r="B21" s="24" t="s">
        <v>62</v>
      </c>
      <c r="C21" s="24" t="s">
        <v>63</v>
      </c>
      <c r="D21" s="25">
        <v>200</v>
      </c>
      <c r="E21" s="24">
        <v>10</v>
      </c>
      <c r="F21" s="24" t="s">
        <v>24</v>
      </c>
      <c r="G21" s="24" t="b">
        <f>ISBLANK(Table2[[#This Row],[Price ($)]])</f>
        <v>0</v>
      </c>
      <c r="H21" s="24">
        <v>200</v>
      </c>
      <c r="I21" s="26">
        <f t="shared" si="0"/>
        <v>200</v>
      </c>
      <c r="J21" s="24" t="str">
        <f>TRIM(Table2[[#This Row],[Product Name]])</f>
        <v>Camping Tent</v>
      </c>
      <c r="K21" s="28" t="s">
        <v>62</v>
      </c>
      <c r="L21" s="28" t="str">
        <f>LEFT(Table2[[#This Row],[Product ID]],6)</f>
        <v>14-AUG</v>
      </c>
      <c r="M21" s="28" t="str">
        <f>RIGHT(Table2[[#This Row],[Product ID]],2)</f>
        <v>US</v>
      </c>
      <c r="N21" s="28" t="str">
        <f>CONCATENATE(Table2[[#This Row],[Brand Name]]," ",Table2[[#This Row],[Product Name]])</f>
        <v>Coleman Camping Tent</v>
      </c>
      <c r="O21" s="28" t="str">
        <f>TEXT(Table3[[#This Row],[Manufacturing Date]],"dd-mm-yyyy")</f>
        <v>14-08-2026</v>
      </c>
    </row>
    <row r="22" spans="1:15" ht="15.75" customHeight="1" x14ac:dyDescent="0.25">
      <c r="A22" s="16" t="s">
        <v>64</v>
      </c>
      <c r="B22" s="17" t="s">
        <v>65</v>
      </c>
      <c r="C22" s="17" t="s">
        <v>66</v>
      </c>
      <c r="D22" s="18">
        <v>700</v>
      </c>
      <c r="E22" s="17">
        <v>50</v>
      </c>
      <c r="F22" s="17" t="s">
        <v>9</v>
      </c>
      <c r="G22" s="17" t="b">
        <f>ISBLANK(Table2[[#This Row],[Price ($)]])</f>
        <v>0</v>
      </c>
      <c r="H22" s="17">
        <v>700</v>
      </c>
      <c r="I22" s="20">
        <f t="shared" si="0"/>
        <v>700</v>
      </c>
      <c r="J22" s="17" t="str">
        <f>TRIM(Table2[[#This Row],[Product Name]])</f>
        <v>Camera</v>
      </c>
      <c r="K22" s="21" t="s">
        <v>65</v>
      </c>
      <c r="L22" s="21" t="str">
        <f>LEFT(Table2[[#This Row],[Product ID]],6)</f>
        <v>14-MAY</v>
      </c>
      <c r="M22" s="21" t="str">
        <f>RIGHT(Table2[[#This Row],[Product ID]],2)</f>
        <v>RU</v>
      </c>
      <c r="N22" s="21" t="str">
        <f>CONCATENATE(Table2[[#This Row],[Brand Name]]," ",Table2[[#This Row],[Product Name]])</f>
        <v>Nikon Camera</v>
      </c>
      <c r="O22" s="21" t="str">
        <f>TEXT(Table3[[#This Row],[Manufacturing Date]],"dd-mm-yyyy")</f>
        <v>14-05-2026</v>
      </c>
    </row>
    <row r="23" spans="1:15" ht="15.75" customHeight="1" x14ac:dyDescent="0.25">
      <c r="A23" s="22" t="s">
        <v>67</v>
      </c>
      <c r="B23" s="24" t="s">
        <v>68</v>
      </c>
      <c r="C23" s="24" t="s">
        <v>69</v>
      </c>
      <c r="D23" s="25">
        <v>80</v>
      </c>
      <c r="E23" s="24">
        <v>20</v>
      </c>
      <c r="F23" s="24" t="s">
        <v>17</v>
      </c>
      <c r="G23" s="24" t="b">
        <f>ISBLANK(Table2[[#This Row],[Price ($)]])</f>
        <v>0</v>
      </c>
      <c r="H23" s="24">
        <v>80</v>
      </c>
      <c r="I23" s="26">
        <f t="shared" si="0"/>
        <v>80</v>
      </c>
      <c r="J23" s="24" t="str">
        <f>TRIM(Table2[[#This Row],[Product Name]])</f>
        <v>Microwave</v>
      </c>
      <c r="K23" s="28" t="s">
        <v>68</v>
      </c>
      <c r="L23" s="28" t="str">
        <f>LEFT(Table2[[#This Row],[Product ID]],6)</f>
        <v>09-JAN</v>
      </c>
      <c r="M23" s="28" t="str">
        <f>RIGHT(Table2[[#This Row],[Product ID]],2)</f>
        <v>CA</v>
      </c>
      <c r="N23" s="28" t="str">
        <f>CONCATENATE(Table2[[#This Row],[Brand Name]]," ",Table2[[#This Row],[Product Name]])</f>
        <v>Panasonic Microwave</v>
      </c>
      <c r="O23" s="28" t="str">
        <f>TEXT(Table3[[#This Row],[Manufacturing Date]],"dd-mm-yyyy")</f>
        <v>09-01-2026</v>
      </c>
    </row>
    <row r="24" spans="1:15" ht="15.75" customHeight="1" x14ac:dyDescent="0.25">
      <c r="A24" s="16" t="s">
        <v>70</v>
      </c>
      <c r="B24" s="17" t="s">
        <v>71</v>
      </c>
      <c r="C24" s="17" t="s">
        <v>72</v>
      </c>
      <c r="D24" s="18">
        <v>150</v>
      </c>
      <c r="E24" s="17">
        <v>30</v>
      </c>
      <c r="F24" s="17" t="s">
        <v>9</v>
      </c>
      <c r="G24" s="17" t="b">
        <f>ISBLANK(Table2[[#This Row],[Price ($)]])</f>
        <v>0</v>
      </c>
      <c r="H24" s="17">
        <v>150</v>
      </c>
      <c r="I24" s="20">
        <f t="shared" si="0"/>
        <v>150</v>
      </c>
      <c r="J24" s="17" t="str">
        <f>TRIM(Table2[[#This Row],[Product Name]])</f>
        <v>Fitness Tracker</v>
      </c>
      <c r="K24" s="21" t="s">
        <v>71</v>
      </c>
      <c r="L24" s="21" t="str">
        <f>LEFT(Table2[[#This Row],[Product ID]],6)</f>
        <v>19-JUL</v>
      </c>
      <c r="M24" s="21" t="str">
        <f>RIGHT(Table2[[#This Row],[Product ID]],2)</f>
        <v>BR</v>
      </c>
      <c r="N24" s="21" t="str">
        <f>CONCATENATE(Table2[[#This Row],[Brand Name]]," ",Table2[[#This Row],[Product Name]])</f>
        <v>Xiaomi Fitness Tracker</v>
      </c>
      <c r="O24" s="21" t="str">
        <f>TEXT(Table3[[#This Row],[Manufacturing Date]],"dd-mm-yyyy")</f>
        <v>19-07-2026</v>
      </c>
    </row>
    <row r="25" spans="1:15" ht="15.75" customHeight="1" x14ac:dyDescent="0.25">
      <c r="A25" s="16" t="s">
        <v>73</v>
      </c>
      <c r="B25" s="17" t="s">
        <v>19</v>
      </c>
      <c r="C25" s="17" t="s">
        <v>74</v>
      </c>
      <c r="D25" s="18">
        <v>800</v>
      </c>
      <c r="E25" s="17">
        <v>45</v>
      </c>
      <c r="F25" s="17" t="s">
        <v>9</v>
      </c>
      <c r="G25" s="17" t="b">
        <f>ISBLANK(Table2[[#This Row],[Price ($)]])</f>
        <v>0</v>
      </c>
      <c r="H25" s="17">
        <v>800</v>
      </c>
      <c r="I25" s="20">
        <f t="shared" si="0"/>
        <v>800</v>
      </c>
      <c r="J25" s="17" t="str">
        <f>TRIM(Table2[[#This Row],[Product Name]])</f>
        <v>Smartphone</v>
      </c>
      <c r="K25" s="21" t="s">
        <v>19</v>
      </c>
      <c r="L25" s="27" t="str">
        <f>LEFT(Table2[[#This Row],[Product ID]],6)</f>
        <v>29-SEP</v>
      </c>
      <c r="M25" s="27" t="str">
        <f>RIGHT(Table2[[#This Row],[Product ID]],2)</f>
        <v>CA</v>
      </c>
      <c r="N25" s="27" t="str">
        <f>CONCATENATE(Table2[[#This Row],[Brand Name]]," ",Table2[[#This Row],[Product Name]])</f>
        <v>Google Smartphone</v>
      </c>
      <c r="O25" s="27" t="str">
        <f>TEXT(Table3[[#This Row],[Manufacturing Date]],"dd-mm-yyyy")</f>
        <v>29-09-2026</v>
      </c>
    </row>
    <row r="26" spans="1:15" ht="15.75" customHeight="1" x14ac:dyDescent="0.25">
      <c r="A26" s="22" t="s">
        <v>75</v>
      </c>
      <c r="B26" s="24" t="s">
        <v>59</v>
      </c>
      <c r="C26" s="24" t="s">
        <v>76</v>
      </c>
      <c r="D26" s="25">
        <v>130</v>
      </c>
      <c r="E26" s="24">
        <v>25</v>
      </c>
      <c r="F26" s="24" t="s">
        <v>13</v>
      </c>
      <c r="G26" s="24" t="b">
        <f>ISBLANK(Table2[[#This Row],[Price ($)]])</f>
        <v>0</v>
      </c>
      <c r="H26" s="24">
        <v>130</v>
      </c>
      <c r="I26" s="26">
        <f t="shared" si="0"/>
        <v>130</v>
      </c>
      <c r="J26" s="24" t="str">
        <f>TRIM(Table2[[#This Row],[Product Name]])</f>
        <v>Sunglasses</v>
      </c>
      <c r="K26" s="28" t="s">
        <v>59</v>
      </c>
      <c r="L26" s="21" t="str">
        <f>LEFT(Table2[[#This Row],[Product ID]],6)</f>
        <v>03-JUN</v>
      </c>
      <c r="M26" s="21" t="str">
        <f>RIGHT(Table2[[#This Row],[Product ID]],2)</f>
        <v>CA</v>
      </c>
      <c r="N26" s="21" t="str">
        <f>CONCATENATE(Table2[[#This Row],[Brand Name]]," ",Table2[[#This Row],[Product Name]])</f>
        <v>Ray-Ban Sunglasses</v>
      </c>
      <c r="O26" s="21" t="str">
        <f>TEXT(Table3[[#This Row],[Manufacturing Date]],"dd-mm-yyyy")</f>
        <v>03-06-2026</v>
      </c>
    </row>
    <row r="27" spans="1:15" ht="15.75" customHeight="1" x14ac:dyDescent="0.25">
      <c r="A27" s="16" t="s">
        <v>77</v>
      </c>
      <c r="B27" s="17" t="s">
        <v>32</v>
      </c>
      <c r="C27" s="17" t="s">
        <v>78</v>
      </c>
      <c r="D27" s="18">
        <v>400</v>
      </c>
      <c r="E27" s="17">
        <v>40</v>
      </c>
      <c r="F27" s="17" t="s">
        <v>17</v>
      </c>
      <c r="G27" s="17" t="b">
        <f>ISBLANK(Table2[[#This Row],[Price ($)]])</f>
        <v>0</v>
      </c>
      <c r="H27" s="17">
        <v>400</v>
      </c>
      <c r="I27" s="20">
        <f t="shared" si="0"/>
        <v>400</v>
      </c>
      <c r="J27" s="17" t="str">
        <f>TRIM(Table2[[#This Row],[Product Name]])</f>
        <v>Blender</v>
      </c>
      <c r="K27" s="21" t="s">
        <v>32</v>
      </c>
      <c r="L27" s="28" t="str">
        <f>LEFT(Table2[[#This Row],[Product ID]],6)</f>
        <v>11-JUL</v>
      </c>
      <c r="M27" s="28" t="str">
        <f>RIGHT(Table2[[#This Row],[Product ID]],2)</f>
        <v>CA</v>
      </c>
      <c r="N27" s="28" t="str">
        <f>CONCATENATE(Table2[[#This Row],[Brand Name]]," ",Table2[[#This Row],[Product Name]])</f>
        <v>Vitamix Blender</v>
      </c>
      <c r="O27" s="28" t="str">
        <f>TEXT(Table3[[#This Row],[Manufacturing Date]],"dd-mm-yyyy")</f>
        <v>11-07-2026</v>
      </c>
    </row>
    <row r="28" spans="1:15" ht="15.75" customHeight="1" x14ac:dyDescent="0.25">
      <c r="A28" s="16" t="s">
        <v>79</v>
      </c>
      <c r="B28" s="17" t="s">
        <v>80</v>
      </c>
      <c r="C28" s="17" t="s">
        <v>81</v>
      </c>
      <c r="D28" s="18">
        <v>60</v>
      </c>
      <c r="E28" s="17">
        <v>30</v>
      </c>
      <c r="F28" s="17" t="s">
        <v>13</v>
      </c>
      <c r="G28" s="17" t="b">
        <f>ISBLANK(Table2[[#This Row],[Price ($)]])</f>
        <v>0</v>
      </c>
      <c r="H28" s="17">
        <v>60</v>
      </c>
      <c r="I28" s="20">
        <f t="shared" si="0"/>
        <v>60</v>
      </c>
      <c r="J28" s="17" t="str">
        <f>TRIM(Table2[[#This Row],[Product Name]])</f>
        <v>Dress</v>
      </c>
      <c r="K28" s="21" t="s">
        <v>80</v>
      </c>
      <c r="L28" s="21" t="str">
        <f>LEFT(Table2[[#This Row],[Product ID]],6)</f>
        <v>07-MAR</v>
      </c>
      <c r="M28" s="21" t="str">
        <f>RIGHT(Table2[[#This Row],[Product ID]],2)</f>
        <v>CA</v>
      </c>
      <c r="N28" s="21" t="str">
        <f>CONCATENATE(Table2[[#This Row],[Brand Name]]," ",Table2[[#This Row],[Product Name]])</f>
        <v>Zara Dress</v>
      </c>
      <c r="O28" s="21" t="str">
        <f>TEXT(Table3[[#This Row],[Manufacturing Date]],"dd-mm-yyyy")</f>
        <v>07-03-2026</v>
      </c>
    </row>
    <row r="29" spans="1:15" ht="15.75" customHeight="1" x14ac:dyDescent="0.25">
      <c r="A29" s="22" t="s">
        <v>82</v>
      </c>
      <c r="B29" s="24" t="s">
        <v>83</v>
      </c>
      <c r="C29" s="24" t="s">
        <v>84</v>
      </c>
      <c r="D29" s="25">
        <v>40</v>
      </c>
      <c r="E29" s="24">
        <v>10</v>
      </c>
      <c r="F29" s="24" t="s">
        <v>17</v>
      </c>
      <c r="G29" s="24" t="b">
        <f>ISBLANK(Table2[[#This Row],[Price ($)]])</f>
        <v>0</v>
      </c>
      <c r="H29" s="24">
        <v>40</v>
      </c>
      <c r="I29" s="26">
        <f t="shared" si="0"/>
        <v>40</v>
      </c>
      <c r="J29" s="24" t="str">
        <f>TRIM(Table2[[#This Row],[Product Name]])</f>
        <v>Toaster</v>
      </c>
      <c r="K29" s="28" t="s">
        <v>83</v>
      </c>
      <c r="L29" s="28" t="str">
        <f>LEFT(Table2[[#This Row],[Product ID]],6)</f>
        <v>13-APR</v>
      </c>
      <c r="M29" s="28" t="str">
        <f>RIGHT(Table2[[#This Row],[Product ID]],2)</f>
        <v>CA</v>
      </c>
      <c r="N29" s="28" t="str">
        <f>CONCATENATE(Table2[[#This Row],[Brand Name]]," ",Table2[[#This Row],[Product Name]])</f>
        <v>Hamilton Toaster</v>
      </c>
      <c r="O29" s="28" t="str">
        <f>TEXT(Table3[[#This Row],[Manufacturing Date]],"dd-mm-yyyy")</f>
        <v>13-04-2026</v>
      </c>
    </row>
    <row r="30" spans="1:15" ht="15.75" customHeight="1" x14ac:dyDescent="0.25">
      <c r="A30" s="16" t="s">
        <v>85</v>
      </c>
      <c r="B30" s="17" t="s">
        <v>71</v>
      </c>
      <c r="C30" s="17" t="s">
        <v>86</v>
      </c>
      <c r="D30" s="18">
        <v>130</v>
      </c>
      <c r="E30" s="17">
        <v>5</v>
      </c>
      <c r="F30" s="17" t="s">
        <v>9</v>
      </c>
      <c r="G30" s="17" t="b">
        <f>ISBLANK(Table2[[#This Row],[Price ($)]])</f>
        <v>0</v>
      </c>
      <c r="H30" s="17">
        <v>130</v>
      </c>
      <c r="I30" s="20">
        <f t="shared" si="0"/>
        <v>130</v>
      </c>
      <c r="J30" s="17" t="str">
        <f>TRIM(Table2[[#This Row],[Product Name]])</f>
        <v>Fitness Tracker</v>
      </c>
      <c r="K30" s="21" t="s">
        <v>71</v>
      </c>
      <c r="L30" s="21" t="str">
        <f>LEFT(Table2[[#This Row],[Product ID]],6)</f>
        <v>24-MAY</v>
      </c>
      <c r="M30" s="21" t="str">
        <f>RIGHT(Table2[[#This Row],[Product ID]],2)</f>
        <v>CA</v>
      </c>
      <c r="N30" s="21" t="str">
        <f>CONCATENATE(Table2[[#This Row],[Brand Name]]," ",Table2[[#This Row],[Product Name]])</f>
        <v>Garmin Fitness Tracker</v>
      </c>
      <c r="O30" s="21" t="str">
        <f>TEXT(Table3[[#This Row],[Manufacturing Date]],"dd-mm-yyyy")</f>
        <v>24-05-2026</v>
      </c>
    </row>
    <row r="31" spans="1:15" ht="15.75" customHeight="1" x14ac:dyDescent="0.25">
      <c r="A31" s="22" t="s">
        <v>87</v>
      </c>
      <c r="B31" s="24" t="s">
        <v>88</v>
      </c>
      <c r="C31" s="24" t="s">
        <v>89</v>
      </c>
      <c r="D31" s="25">
        <v>50</v>
      </c>
      <c r="E31" s="24">
        <v>50</v>
      </c>
      <c r="F31" s="24" t="s">
        <v>13</v>
      </c>
      <c r="G31" s="24" t="b">
        <f>ISBLANK(Table2[[#This Row],[Price ($)]])</f>
        <v>0</v>
      </c>
      <c r="H31" s="24">
        <v>50</v>
      </c>
      <c r="I31" s="26">
        <f t="shared" si="0"/>
        <v>50</v>
      </c>
      <c r="J31" s="24" t="str">
        <f>TRIM(Table2[[#This Row],[Product Name]])</f>
        <v>Jeans</v>
      </c>
      <c r="K31" s="28" t="s">
        <v>88</v>
      </c>
      <c r="L31" s="28" t="str">
        <f>LEFT(Table2[[#This Row],[Product ID]],6)</f>
        <v>02-DEC</v>
      </c>
      <c r="M31" s="28" t="str">
        <f>RIGHT(Table2[[#This Row],[Product ID]],2)</f>
        <v>CA</v>
      </c>
      <c r="N31" s="28" t="str">
        <f>CONCATENATE(Table2[[#This Row],[Brand Name]]," ",Table2[[#This Row],[Product Name]])</f>
        <v>Levi's Jeans</v>
      </c>
      <c r="O31" s="28" t="str">
        <f>TEXT(Table3[[#This Row],[Manufacturing Date]],"dd-mm-yyyy")</f>
        <v>02-12-2026</v>
      </c>
    </row>
    <row r="32" spans="1:15" ht="15.75" customHeight="1" x14ac:dyDescent="0.25">
      <c r="A32" s="22" t="s">
        <v>90</v>
      </c>
      <c r="B32" s="24" t="s">
        <v>91</v>
      </c>
      <c r="C32" s="24" t="s">
        <v>92</v>
      </c>
      <c r="D32" s="25">
        <v>100</v>
      </c>
      <c r="E32" s="24">
        <v>20</v>
      </c>
      <c r="F32" s="24" t="s">
        <v>53</v>
      </c>
      <c r="G32" s="24" t="b">
        <f>ISBLANK(Table2[[#This Row],[Price ($)]])</f>
        <v>0</v>
      </c>
      <c r="H32" s="24">
        <v>100</v>
      </c>
      <c r="I32" s="26">
        <f t="shared" si="0"/>
        <v>100</v>
      </c>
      <c r="J32" s="24" t="str">
        <f>TRIM(Table2[[#This Row],[Product Name]])</f>
        <v>Watch</v>
      </c>
      <c r="K32" s="28" t="s">
        <v>91</v>
      </c>
      <c r="L32" s="21" t="str">
        <f>LEFT(Table2[[#This Row],[Product ID]],6)</f>
        <v>09-JUL</v>
      </c>
      <c r="M32" s="21" t="str">
        <f>RIGHT(Table2[[#This Row],[Product ID]],2)</f>
        <v>FR</v>
      </c>
      <c r="N32" s="21" t="str">
        <f>CONCATENATE(Table2[[#This Row],[Brand Name]]," ",Table2[[#This Row],[Product Name]])</f>
        <v>Casio Watch</v>
      </c>
      <c r="O32" s="21" t="str">
        <f>TEXT(Table3[[#This Row],[Manufacturing Date]],"dd-mm-yyyy")</f>
        <v>09-07-2026</v>
      </c>
    </row>
    <row r="33" spans="3:4" ht="15.75" customHeight="1" x14ac:dyDescent="0.25">
      <c r="C33" s="30" t="s">
        <v>97</v>
      </c>
      <c r="D33" s="30">
        <f>COUNTBLANK(D2:D32)</f>
        <v>0</v>
      </c>
    </row>
    <row r="34" spans="3:4" ht="15.75" customHeight="1" x14ac:dyDescent="0.25"/>
    <row r="35" spans="3:4" ht="15.75" customHeight="1" x14ac:dyDescent="0.25"/>
    <row r="36" spans="3:4" ht="15.75" customHeight="1" x14ac:dyDescent="0.25"/>
    <row r="37" spans="3:4" ht="15.75" customHeight="1" x14ac:dyDescent="0.25"/>
    <row r="38" spans="3:4" ht="15.75" customHeight="1" x14ac:dyDescent="0.25"/>
    <row r="39" spans="3:4" ht="15.75" customHeight="1" x14ac:dyDescent="0.25"/>
    <row r="40" spans="3:4" ht="15.75" customHeight="1" x14ac:dyDescent="0.25"/>
    <row r="41" spans="3:4" ht="15.75" customHeight="1" x14ac:dyDescent="0.25"/>
    <row r="42" spans="3:4" ht="15.75" customHeight="1" x14ac:dyDescent="0.25"/>
    <row r="43" spans="3:4" ht="15.75" customHeight="1" x14ac:dyDescent="0.25"/>
    <row r="44" spans="3:4" ht="15.75" customHeight="1" x14ac:dyDescent="0.25"/>
    <row r="45" spans="3:4" ht="15.75" customHeight="1" x14ac:dyDescent="0.25"/>
    <row r="46" spans="3:4" ht="15.75" customHeight="1" x14ac:dyDescent="0.25"/>
    <row r="47" spans="3:4" ht="15.75" customHeight="1" x14ac:dyDescent="0.25"/>
    <row r="48" spans="3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conditionalFormatting sqref="A1:A32">
    <cfRule type="duplicateValues" dxfId="6" priority="21"/>
    <cfRule type="duplicateValues" dxfId="5" priority="22"/>
  </conditionalFormatting>
  <conditionalFormatting sqref="D1">
    <cfRule type="colorScale" priority="9">
      <colorScale>
        <cfvo type="min"/>
        <cfvo type="max"/>
        <color theme="5" tint="0.59999389629810485"/>
        <color theme="9" tint="-0.249977111117893"/>
      </colorScale>
    </cfRule>
  </conditionalFormatting>
  <conditionalFormatting sqref="D1:D32 D34:D1048576">
    <cfRule type="colorScale" priority="8">
      <colorScale>
        <cfvo type="min"/>
        <cfvo type="max"/>
        <color theme="5" tint="0.39997558519241921"/>
        <color theme="9" tint="-0.249977111117893"/>
      </colorScale>
    </cfRule>
  </conditionalFormatting>
  <conditionalFormatting sqref="D1:D32">
    <cfRule type="colorScale" priority="12">
      <colorScale>
        <cfvo type="min"/>
        <cfvo type="max"/>
        <color theme="4" tint="0.59999389629810485"/>
        <color theme="9" tint="0.59999389629810485"/>
      </colorScale>
    </cfRule>
    <cfRule type="colorScale" priority="13">
      <colorScale>
        <cfvo type="min"/>
        <cfvo type="max"/>
        <color theme="5" tint="0.39997558519241921"/>
        <color theme="7" tint="0.39997558519241921"/>
      </colorScale>
    </cfRule>
  </conditionalFormatting>
  <conditionalFormatting sqref="D2:D32">
    <cfRule type="colorScale" priority="10">
      <colorScale>
        <cfvo type="min"/>
        <cfvo type="max"/>
        <color theme="4" tint="0.59999389629810485"/>
        <color theme="9" tint="-0.249977111117893"/>
      </colorScale>
    </cfRule>
    <cfRule type="colorScale" priority="11">
      <colorScale>
        <cfvo type="min"/>
        <cfvo type="max"/>
        <color theme="4" tint="-0.249977111117893"/>
        <color theme="9" tint="-0.249977111117893"/>
      </colorScale>
    </cfRule>
  </conditionalFormatting>
  <conditionalFormatting sqref="F2:F32">
    <cfRule type="expression" dxfId="4" priority="1">
      <formula>$F2="Electronics"</formula>
    </cfRule>
    <cfRule type="expression" dxfId="3" priority="2">
      <formula>$F2="Electronics"</formula>
    </cfRule>
    <cfRule type="expression" dxfId="2" priority="3">
      <formula>$F2="Electronics"</formula>
    </cfRule>
    <cfRule type="expression" priority="5">
      <formula>$F$2:$F$32="Electronics"</formula>
    </cfRule>
    <cfRule type="expression" dxfId="1" priority="6">
      <formula>$D$2="Electronics"</formula>
    </cfRule>
    <cfRule type="expression" dxfId="0" priority="7">
      <formula>D2="Electronics"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EC5F-728F-4CF6-A463-4D554AD49000}">
  <dimension ref="A1:C15"/>
  <sheetViews>
    <sheetView tabSelected="1" topLeftCell="A15" zoomScale="117" workbookViewId="0">
      <selection activeCell="A20" sqref="A20"/>
    </sheetView>
  </sheetViews>
  <sheetFormatPr defaultRowHeight="12.5" x14ac:dyDescent="0.25"/>
  <cols>
    <col min="2" max="2" width="71.08984375" customWidth="1"/>
    <col min="3" max="3" width="103.36328125" bestFit="1" customWidth="1"/>
  </cols>
  <sheetData>
    <row r="1" spans="1:3" ht="13" x14ac:dyDescent="0.3">
      <c r="A1" s="3" t="s">
        <v>93</v>
      </c>
      <c r="B1" s="3" t="s">
        <v>94</v>
      </c>
      <c r="C1" s="3" t="s">
        <v>95</v>
      </c>
    </row>
    <row r="2" spans="1:3" ht="67.5" customHeight="1" x14ac:dyDescent="0.25">
      <c r="A2" s="31">
        <v>1</v>
      </c>
      <c r="B2" s="1" t="s">
        <v>96</v>
      </c>
      <c r="C2" s="2" t="s">
        <v>102</v>
      </c>
    </row>
    <row r="3" spans="1:3" ht="46" customHeight="1" x14ac:dyDescent="0.25">
      <c r="A3" s="31"/>
      <c r="B3" s="1"/>
      <c r="C3" s="2" t="s">
        <v>101</v>
      </c>
    </row>
    <row r="4" spans="1:3" ht="25.5" x14ac:dyDescent="0.25">
      <c r="A4" s="32">
        <v>2</v>
      </c>
      <c r="B4" s="5"/>
      <c r="C4" s="2" t="s">
        <v>105</v>
      </c>
    </row>
    <row r="5" spans="1:3" ht="90" customHeight="1" x14ac:dyDescent="0.25">
      <c r="A5" s="33"/>
      <c r="B5" s="4"/>
      <c r="C5" s="2" t="s">
        <v>106</v>
      </c>
    </row>
    <row r="6" spans="1:3" ht="76.5" customHeight="1" x14ac:dyDescent="0.25">
      <c r="A6" s="33"/>
      <c r="B6" s="1"/>
      <c r="C6" s="2" t="s">
        <v>107</v>
      </c>
    </row>
    <row r="7" spans="1:3" ht="13" x14ac:dyDescent="0.3">
      <c r="A7" s="34"/>
      <c r="B7" s="1" t="s">
        <v>109</v>
      </c>
      <c r="C7" s="10" t="s">
        <v>108</v>
      </c>
    </row>
    <row r="8" spans="1:3" ht="102.5" customHeight="1" x14ac:dyDescent="0.25">
      <c r="A8" s="31">
        <v>3</v>
      </c>
      <c r="B8" s="1"/>
      <c r="C8" s="11" t="s">
        <v>110</v>
      </c>
    </row>
    <row r="9" spans="1:3" ht="86.5" customHeight="1" x14ac:dyDescent="0.25">
      <c r="A9" s="31"/>
      <c r="B9" s="1"/>
      <c r="C9" s="11" t="s">
        <v>111</v>
      </c>
    </row>
    <row r="10" spans="1:3" ht="51" customHeight="1" x14ac:dyDescent="0.25">
      <c r="A10" s="31">
        <v>4</v>
      </c>
      <c r="B10" s="1"/>
      <c r="C10" s="2" t="s">
        <v>116</v>
      </c>
    </row>
    <row r="11" spans="1:3" ht="31.5" customHeight="1" x14ac:dyDescent="0.25">
      <c r="A11" s="31"/>
      <c r="B11" s="1"/>
      <c r="C11" s="2" t="s">
        <v>117</v>
      </c>
    </row>
    <row r="12" spans="1:3" ht="64" customHeight="1" x14ac:dyDescent="0.25">
      <c r="A12" s="31">
        <v>5</v>
      </c>
      <c r="B12" s="1"/>
      <c r="C12" s="14" t="s">
        <v>118</v>
      </c>
    </row>
    <row r="13" spans="1:3" ht="52" x14ac:dyDescent="0.25">
      <c r="A13" s="31"/>
      <c r="B13" s="1"/>
      <c r="C13" s="2" t="s">
        <v>120</v>
      </c>
    </row>
    <row r="14" spans="1:3" ht="97.5" customHeight="1" x14ac:dyDescent="0.25">
      <c r="A14" s="31">
        <v>6</v>
      </c>
      <c r="B14" s="1"/>
      <c r="C14" s="2" t="s">
        <v>121</v>
      </c>
    </row>
    <row r="15" spans="1:3" ht="169" customHeight="1" x14ac:dyDescent="0.25">
      <c r="A15" s="31"/>
      <c r="B15" s="1"/>
      <c r="C15" s="2" t="s">
        <v>122</v>
      </c>
    </row>
  </sheetData>
  <mergeCells count="6">
    <mergeCell ref="A2:A3"/>
    <mergeCell ref="A8:A9"/>
    <mergeCell ref="A10:A11"/>
    <mergeCell ref="A12:A13"/>
    <mergeCell ref="A14:A15"/>
    <mergeCell ref="A4:A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OCR Support</cp:lastModifiedBy>
  <dcterms:modified xsi:type="dcterms:W3CDTF">2026-07-01T17:24:53Z</dcterms:modified>
</cp:coreProperties>
</file>